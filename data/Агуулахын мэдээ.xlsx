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xr:revisionPtr revIDLastSave="430" documentId="11_0B1D56BE9CDCCE836B02CE7A5FB0D4A9BBFD1C62" xr6:coauthVersionLast="47" xr6:coauthVersionMax="47" xr10:uidLastSave="{81BC0F4B-2071-4DEA-BFBA-A72820144629}"/>
  <bookViews>
    <workbookView xWindow="240" yWindow="105" windowWidth="14805" windowHeight="8010" xr2:uid="{00000000-000D-0000-FFFF-FFFF00000000}"/>
  </bookViews>
  <sheets>
    <sheet name="Aguulahiin medeel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2" i="1"/>
  <c r="F23" i="1"/>
  <c r="F24" i="1"/>
  <c r="F25" i="1"/>
  <c r="F26" i="1"/>
  <c r="F28" i="1"/>
  <c r="F29" i="1"/>
  <c r="F30" i="1"/>
  <c r="F31" i="1"/>
  <c r="F32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O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E6" i="1"/>
  <c r="O3" i="1" s="1"/>
</calcChain>
</file>

<file path=xl/sharedStrings.xml><?xml version="1.0" encoding="utf-8"?>
<sst xmlns="http://schemas.openxmlformats.org/spreadsheetml/2006/main" count="148" uniqueCount="58">
  <si>
    <t>Бренд</t>
  </si>
  <si>
    <t>Бүтээгдэхүүн</t>
  </si>
  <si>
    <t>Мэдүүлэг хийгдсэн огноо</t>
  </si>
  <si>
    <t>Захиалсан тоо</t>
  </si>
  <si>
    <t>Татан авалтын тоо хэмжээ</t>
  </si>
  <si>
    <t>Баталгаат Агуулах дээрх тоо хэмжээ</t>
  </si>
  <si>
    <t>Агуулах</t>
  </si>
  <si>
    <t>Тайлбар</t>
  </si>
  <si>
    <t xml:space="preserve">All stars </t>
  </si>
  <si>
    <t>Raw intensity 320g</t>
  </si>
  <si>
    <t>2024.05.07</t>
  </si>
  <si>
    <t>Нисэх</t>
  </si>
  <si>
    <t>2024.08.22-нд авсан</t>
  </si>
  <si>
    <t>Minvit 1000ml</t>
  </si>
  <si>
    <t>2024.06.24</t>
  </si>
  <si>
    <t>2025.01.16-нд авсан</t>
  </si>
  <si>
    <t xml:space="preserve">BCAA 420g </t>
  </si>
  <si>
    <t>2024.10.22-нд авсан</t>
  </si>
  <si>
    <t>Creatine Beta alanine</t>
  </si>
  <si>
    <t>2024.05.27</t>
  </si>
  <si>
    <t>TI Logistic</t>
  </si>
  <si>
    <t>2025.01.23-нд дээжинд 6ш авсан</t>
  </si>
  <si>
    <t>Pre Work-Out Booster</t>
  </si>
  <si>
    <t>Whey Protein 908g</t>
  </si>
  <si>
    <t>Iso whey Zero 2270g</t>
  </si>
  <si>
    <t>unknown</t>
  </si>
  <si>
    <t>IDL</t>
  </si>
  <si>
    <t>12 ширхэг шоколадны амттайг авсан, 30ш устгасан</t>
  </si>
  <si>
    <t>Black blood Nox 340g</t>
  </si>
  <si>
    <t>Biotech</t>
  </si>
  <si>
    <t>2024.05.14</t>
  </si>
  <si>
    <t>Black blood Nox 20g</t>
  </si>
  <si>
    <t>2025.01.23-нд дээжинд 3ш авсан</t>
  </si>
  <si>
    <t>Pump caffeine 330g</t>
  </si>
  <si>
    <t>Pump caffeine 11g</t>
  </si>
  <si>
    <t xml:space="preserve">Mission 210g </t>
  </si>
  <si>
    <t>FAT-X 60tbl</t>
  </si>
  <si>
    <t>Tribooster 60tbl</t>
  </si>
  <si>
    <t>2025.01.23-нд дээжинд 12ш авсан</t>
  </si>
  <si>
    <t>Black test 90tbl</t>
  </si>
  <si>
    <t>Chondroitin 60caps</t>
  </si>
  <si>
    <t>MSM 150g</t>
  </si>
  <si>
    <t>After 420g</t>
  </si>
  <si>
    <t>Power Whey 2250g</t>
  </si>
  <si>
    <t>Power Creatine 400g</t>
  </si>
  <si>
    <t>Bedeco</t>
  </si>
  <si>
    <t>2024.01.15</t>
  </si>
  <si>
    <t xml:space="preserve">Monex </t>
  </si>
  <si>
    <t>2024.07.22-нд авсан</t>
  </si>
  <si>
    <t>Iso whey zero Black 2270g</t>
  </si>
  <si>
    <t>L-Glutamine</t>
  </si>
  <si>
    <t xml:space="preserve">Biotech </t>
  </si>
  <si>
    <t xml:space="preserve">2024.07.09 </t>
  </si>
  <si>
    <t>EAA-Zero</t>
  </si>
  <si>
    <t>2023.07.26</t>
  </si>
  <si>
    <t>Туушин</t>
  </si>
  <si>
    <t>2025.01.20-нд авсан</t>
  </si>
  <si>
    <t>2024.10.18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</si>
</sst>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0" xfId="0" applyFill="1"/>
    <xf numFmtId="0" fontId="1" fillId="0" borderId="1" xfId="0" applyFont="1" applyBorder="1"/>
    <xf numFmtId="0" fontId="0" fillId="5" borderId="1" xfId="0" applyFill="1" applyBorder="1"/>
    <xf numFmtId="0" fontId="0" fillId="6" borderId="1" xfId="0" applyFill="1" applyBorder="1"/>
    <xf numFmtId="0" fontId="0" fillId="3" borderId="2" xfId="0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 indent="2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indent="2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/>
  <cols>
    <col min="1" max="1" width="11.5703125" customWidth="1"/>
    <col min="2" max="2" width="23.42578125" customWidth="1"/>
    <col min="3" max="4" width="19.7109375" customWidth="1"/>
    <col min="5" max="5" width="14.42578125" customWidth="1"/>
    <col min="6" max="6" width="21.85546875" customWidth="1"/>
    <col min="7" max="7" width="10.5703125" customWidth="1"/>
    <col min="8" max="8" width="26.85546875" customWidth="1"/>
    <col min="14" max="14" width="23.85546875" bestFit="1" customWidth="1"/>
    <col min="16384" max="16384" width="9.140625" bestFit="1" customWidth="1"/>
  </cols>
  <sheetData>
    <row r="1" spans="1:15" ht="29.2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</row>
    <row r="2" spans="1:15">
      <c r="A2" s="16" t="s">
        <v>8</v>
      </c>
      <c r="B2" s="2" t="s">
        <v>9</v>
      </c>
      <c r="C2" s="2" t="s">
        <v>10</v>
      </c>
      <c r="D2" s="2">
        <v>70</v>
      </c>
      <c r="E2" s="2">
        <v>70</v>
      </c>
      <c r="F2" s="2">
        <f>+D2-E2</f>
        <v>0</v>
      </c>
      <c r="G2" s="2" t="s">
        <v>11</v>
      </c>
      <c r="H2" s="11" t="s">
        <v>12</v>
      </c>
      <c r="N2" s="2" t="s">
        <v>9</v>
      </c>
      <c r="O2">
        <f>SUMIF(B$2:B$32,N2,F$2:F$32)</f>
        <v>0</v>
      </c>
    </row>
    <row r="3" spans="1:15">
      <c r="A3" s="16"/>
      <c r="B3" s="2" t="s">
        <v>13</v>
      </c>
      <c r="C3" s="2" t="s">
        <v>14</v>
      </c>
      <c r="D3" s="2">
        <v>500</v>
      </c>
      <c r="E3" s="2">
        <v>150</v>
      </c>
      <c r="F3" s="2">
        <f>+D3-E3</f>
        <v>350</v>
      </c>
      <c r="G3" s="2" t="s">
        <v>11</v>
      </c>
      <c r="H3" s="8" t="s">
        <v>15</v>
      </c>
      <c r="N3" s="2" t="s">
        <v>13</v>
      </c>
      <c r="O3" s="9">
        <f>SUMIF(B$2:B$32,N3,F$2:F$32)</f>
        <v>366</v>
      </c>
    </row>
    <row r="4" spans="1:15">
      <c r="A4" s="16"/>
      <c r="B4" s="2" t="s">
        <v>16</v>
      </c>
      <c r="C4" s="2" t="s">
        <v>14</v>
      </c>
      <c r="D4" s="2">
        <v>200</v>
      </c>
      <c r="E4" s="2">
        <v>200</v>
      </c>
      <c r="F4" s="2">
        <f>+D4-E4</f>
        <v>0</v>
      </c>
      <c r="G4" s="2" t="s">
        <v>11</v>
      </c>
      <c r="H4" s="11" t="s">
        <v>17</v>
      </c>
      <c r="N4" s="2" t="s">
        <v>16</v>
      </c>
      <c r="O4" s="9">
        <f>SUMIF(B$2:B$32,N4,F$2:F$32)</f>
        <v>60</v>
      </c>
    </row>
    <row r="5" spans="1:15" ht="29.25">
      <c r="A5" s="16"/>
      <c r="B5" s="10" t="s">
        <v>18</v>
      </c>
      <c r="C5" s="2" t="s">
        <v>19</v>
      </c>
      <c r="D5" s="2">
        <v>100</v>
      </c>
      <c r="E5" s="10">
        <v>58</v>
      </c>
      <c r="F5" s="2">
        <f>+D5-E5</f>
        <v>42</v>
      </c>
      <c r="G5" s="2" t="s">
        <v>20</v>
      </c>
      <c r="H5" s="15" t="s">
        <v>21</v>
      </c>
      <c r="N5" s="2" t="s">
        <v>18</v>
      </c>
      <c r="O5" s="9">
        <f>SUMIF(B$2:B$32,N5,F$2:F$32)</f>
        <v>42</v>
      </c>
    </row>
    <row r="6" spans="1:15">
      <c r="A6" s="16"/>
      <c r="B6" s="2" t="s">
        <v>13</v>
      </c>
      <c r="C6" s="2" t="s">
        <v>19</v>
      </c>
      <c r="D6" s="2">
        <v>100</v>
      </c>
      <c r="E6" s="10">
        <f>84</f>
        <v>84</v>
      </c>
      <c r="F6" s="2">
        <f>+D6-E6</f>
        <v>16</v>
      </c>
      <c r="G6" s="2" t="s">
        <v>20</v>
      </c>
      <c r="H6" s="2"/>
      <c r="N6" s="2" t="s">
        <v>22</v>
      </c>
      <c r="O6" s="9">
        <f>SUMIF(B$2:B$32,N6,F$2:F$32)</f>
        <v>24</v>
      </c>
    </row>
    <row r="7" spans="1:15">
      <c r="A7" s="16"/>
      <c r="B7" s="2" t="s">
        <v>16</v>
      </c>
      <c r="C7" s="2" t="s">
        <v>19</v>
      </c>
      <c r="D7" s="2">
        <v>150</v>
      </c>
      <c r="E7" s="10">
        <v>90</v>
      </c>
      <c r="F7" s="2">
        <f>+D7-E7</f>
        <v>60</v>
      </c>
      <c r="G7" s="2" t="s">
        <v>20</v>
      </c>
      <c r="H7" s="2"/>
      <c r="N7" s="2" t="s">
        <v>23</v>
      </c>
      <c r="O7">
        <f>SUMIF(B$2:B$32,N7,F$2:F$32)</f>
        <v>0</v>
      </c>
    </row>
    <row r="8" spans="1:15" ht="29.25">
      <c r="A8" s="16"/>
      <c r="B8" s="10" t="s">
        <v>22</v>
      </c>
      <c r="C8" s="2" t="s">
        <v>19</v>
      </c>
      <c r="D8" s="2">
        <v>60</v>
      </c>
      <c r="E8" s="10">
        <v>36</v>
      </c>
      <c r="F8" s="2">
        <v>24</v>
      </c>
      <c r="G8" s="2" t="s">
        <v>20</v>
      </c>
      <c r="H8" s="15" t="s">
        <v>21</v>
      </c>
      <c r="N8" s="2" t="s">
        <v>24</v>
      </c>
      <c r="O8">
        <f>SUMIF(B$2:B$32,N8,F$2:F$32)</f>
        <v>4</v>
      </c>
    </row>
    <row r="9" spans="1:15" ht="29.25">
      <c r="A9" s="16"/>
      <c r="B9" s="2" t="s">
        <v>23</v>
      </c>
      <c r="C9" s="2">
        <v>2022</v>
      </c>
      <c r="D9" s="2"/>
      <c r="E9" s="2"/>
      <c r="F9" s="2" t="s">
        <v>25</v>
      </c>
      <c r="G9" s="2" t="s">
        <v>26</v>
      </c>
      <c r="H9" s="14" t="s">
        <v>27</v>
      </c>
      <c r="N9" s="2" t="s">
        <v>28</v>
      </c>
      <c r="O9">
        <f>SUMIF(B$2:B$32,N9,F$2:F$32)</f>
        <v>17</v>
      </c>
    </row>
    <row r="10" spans="1:15">
      <c r="A10" s="17" t="s">
        <v>29</v>
      </c>
      <c r="B10" s="12" t="s">
        <v>24</v>
      </c>
      <c r="C10" s="2" t="s">
        <v>30</v>
      </c>
      <c r="D10" s="2">
        <v>4</v>
      </c>
      <c r="E10" s="2">
        <v>0</v>
      </c>
      <c r="F10" s="2">
        <f>+D10-E10</f>
        <v>4</v>
      </c>
      <c r="G10" s="2" t="s">
        <v>20</v>
      </c>
      <c r="H10" s="2"/>
      <c r="N10" s="2" t="s">
        <v>31</v>
      </c>
      <c r="O10">
        <f>SUMIF(B$2:B$32,N10,F$2:F$32)</f>
        <v>50</v>
      </c>
    </row>
    <row r="11" spans="1:15" ht="29.25">
      <c r="A11" s="17"/>
      <c r="B11" s="12" t="s">
        <v>28</v>
      </c>
      <c r="C11" s="2" t="s">
        <v>30</v>
      </c>
      <c r="D11" s="2">
        <v>30</v>
      </c>
      <c r="E11" s="2">
        <v>13</v>
      </c>
      <c r="F11" s="2">
        <f>+D11-E11</f>
        <v>17</v>
      </c>
      <c r="G11" s="2" t="s">
        <v>20</v>
      </c>
      <c r="H11" s="15" t="s">
        <v>32</v>
      </c>
      <c r="N11" s="2" t="s">
        <v>33</v>
      </c>
      <c r="O11">
        <f>SUMIF(B$2:B$32,N11,F$2:F$32)</f>
        <v>7</v>
      </c>
    </row>
    <row r="12" spans="1:15">
      <c r="A12" s="17"/>
      <c r="B12" s="12" t="s">
        <v>31</v>
      </c>
      <c r="C12" s="2" t="s">
        <v>30</v>
      </c>
      <c r="D12" s="2">
        <v>350</v>
      </c>
      <c r="E12" s="2">
        <v>300</v>
      </c>
      <c r="F12" s="2">
        <f>+D12-E12</f>
        <v>50</v>
      </c>
      <c r="G12" s="2" t="s">
        <v>20</v>
      </c>
      <c r="H12" s="2"/>
      <c r="N12" s="2" t="s">
        <v>34</v>
      </c>
      <c r="O12">
        <f>SUMIF(B$2:B$32,N12,F$2:F$32)</f>
        <v>50</v>
      </c>
    </row>
    <row r="13" spans="1:15" ht="29.25">
      <c r="A13" s="17"/>
      <c r="B13" s="12" t="s">
        <v>33</v>
      </c>
      <c r="C13" s="2" t="s">
        <v>30</v>
      </c>
      <c r="D13" s="2">
        <v>10</v>
      </c>
      <c r="E13" s="2">
        <v>3</v>
      </c>
      <c r="F13" s="2">
        <f>+D13-E13</f>
        <v>7</v>
      </c>
      <c r="G13" s="2" t="s">
        <v>20</v>
      </c>
      <c r="H13" s="15" t="s">
        <v>32</v>
      </c>
      <c r="N13" s="2" t="s">
        <v>35</v>
      </c>
      <c r="O13">
        <f>SUMIF(B$2:B$32,N13,F$2:F$32)</f>
        <v>12</v>
      </c>
    </row>
    <row r="14" spans="1:15">
      <c r="A14" s="17"/>
      <c r="B14" s="12" t="s">
        <v>34</v>
      </c>
      <c r="C14" s="2" t="s">
        <v>30</v>
      </c>
      <c r="D14" s="2">
        <v>100</v>
      </c>
      <c r="E14" s="2">
        <v>50</v>
      </c>
      <c r="F14" s="2">
        <f>+D14-E14</f>
        <v>50</v>
      </c>
      <c r="G14" s="2" t="s">
        <v>20</v>
      </c>
      <c r="H14" s="2"/>
      <c r="N14" s="2" t="s">
        <v>36</v>
      </c>
      <c r="O14">
        <f>SUMIF(B$2:B$32,N14,F$2:F$32)</f>
        <v>12</v>
      </c>
    </row>
    <row r="15" spans="1:15" ht="29.25">
      <c r="A15" s="17"/>
      <c r="B15" s="12" t="s">
        <v>35</v>
      </c>
      <c r="C15" s="2" t="s">
        <v>30</v>
      </c>
      <c r="D15" s="2">
        <v>36</v>
      </c>
      <c r="E15" s="2">
        <v>24</v>
      </c>
      <c r="F15" s="2">
        <f>+D15-E15</f>
        <v>12</v>
      </c>
      <c r="G15" s="2" t="s">
        <v>20</v>
      </c>
      <c r="H15" s="15" t="s">
        <v>21</v>
      </c>
      <c r="I15" s="1"/>
      <c r="N15" s="2" t="s">
        <v>37</v>
      </c>
      <c r="O15">
        <f>SUMIF(B$2:B$32,N15,F$2:F$32)</f>
        <v>74</v>
      </c>
    </row>
    <row r="16" spans="1:15" ht="29.25">
      <c r="A16" s="17"/>
      <c r="B16" s="12" t="s">
        <v>36</v>
      </c>
      <c r="C16" s="2" t="s">
        <v>30</v>
      </c>
      <c r="D16" s="2">
        <v>48</v>
      </c>
      <c r="E16" s="2">
        <v>36</v>
      </c>
      <c r="F16" s="2">
        <f>+D16-E16</f>
        <v>12</v>
      </c>
      <c r="G16" s="2" t="s">
        <v>20</v>
      </c>
      <c r="H16" s="15" t="s">
        <v>38</v>
      </c>
      <c r="N16" s="2" t="s">
        <v>39</v>
      </c>
      <c r="O16">
        <f>SUMIF(B$2:B$32,N16,F$2:F$32)</f>
        <v>12</v>
      </c>
    </row>
    <row r="17" spans="1:15" ht="29.25">
      <c r="A17" s="17"/>
      <c r="B17" s="12" t="s">
        <v>37</v>
      </c>
      <c r="C17" s="2" t="s">
        <v>30</v>
      </c>
      <c r="D17" s="2">
        <v>100</v>
      </c>
      <c r="E17" s="2">
        <v>66</v>
      </c>
      <c r="F17" s="2">
        <f>+D17-E17</f>
        <v>34</v>
      </c>
      <c r="G17" s="2" t="s">
        <v>20</v>
      </c>
      <c r="H17" s="15" t="s">
        <v>21</v>
      </c>
      <c r="N17" s="2" t="s">
        <v>40</v>
      </c>
      <c r="O17">
        <f>SUMIF(B$2:B$32,N17,F$2:F$32)</f>
        <v>36</v>
      </c>
    </row>
    <row r="18" spans="1:15" ht="29.25">
      <c r="A18" s="17"/>
      <c r="B18" s="12" t="s">
        <v>39</v>
      </c>
      <c r="C18" s="2" t="s">
        <v>30</v>
      </c>
      <c r="D18" s="2">
        <v>60</v>
      </c>
      <c r="E18" s="2">
        <v>48</v>
      </c>
      <c r="F18" s="2">
        <f>+D18-E18</f>
        <v>12</v>
      </c>
      <c r="G18" s="2" t="s">
        <v>20</v>
      </c>
      <c r="H18" s="15" t="s">
        <v>38</v>
      </c>
      <c r="N18" s="2" t="s">
        <v>41</v>
      </c>
      <c r="O18">
        <f>SUMIF(B$2:B$32,N18,F$2:F$32)</f>
        <v>78</v>
      </c>
    </row>
    <row r="19" spans="1:15" ht="29.25">
      <c r="A19" s="17"/>
      <c r="B19" s="12" t="s">
        <v>40</v>
      </c>
      <c r="C19" s="2" t="s">
        <v>30</v>
      </c>
      <c r="D19" s="2">
        <v>60</v>
      </c>
      <c r="E19" s="2">
        <v>48</v>
      </c>
      <c r="F19" s="2">
        <f>+D19-E19</f>
        <v>12</v>
      </c>
      <c r="G19" s="2" t="s">
        <v>20</v>
      </c>
      <c r="H19" s="15" t="s">
        <v>38</v>
      </c>
      <c r="N19" s="2" t="s">
        <v>42</v>
      </c>
      <c r="O19">
        <f>SUMIF(B$2:B$32,N19,F$2:F$32)</f>
        <v>7</v>
      </c>
    </row>
    <row r="20" spans="1:15" ht="29.25">
      <c r="A20" s="17"/>
      <c r="B20" s="12" t="s">
        <v>41</v>
      </c>
      <c r="C20" s="2" t="s">
        <v>30</v>
      </c>
      <c r="D20" s="2">
        <v>60</v>
      </c>
      <c r="E20" s="2">
        <v>48</v>
      </c>
      <c r="F20" s="2">
        <f>+D20-E20</f>
        <v>12</v>
      </c>
      <c r="G20" s="2" t="s">
        <v>20</v>
      </c>
      <c r="H20" s="15" t="s">
        <v>21</v>
      </c>
      <c r="N20" s="2" t="s">
        <v>43</v>
      </c>
      <c r="O20">
        <f>SUMIF(B$2:B$32,N20,F$2:F$32)</f>
        <v>0</v>
      </c>
    </row>
    <row r="21" spans="1:15" ht="29.25">
      <c r="A21" s="17"/>
      <c r="B21" s="12" t="s">
        <v>42</v>
      </c>
      <c r="C21" s="2" t="s">
        <v>30</v>
      </c>
      <c r="D21" s="2">
        <v>40</v>
      </c>
      <c r="E21" s="2">
        <v>33</v>
      </c>
      <c r="F21" s="2">
        <f>+D21-E21</f>
        <v>7</v>
      </c>
      <c r="G21" s="2" t="s">
        <v>20</v>
      </c>
      <c r="H21" s="15" t="s">
        <v>32</v>
      </c>
      <c r="N21" s="2" t="s">
        <v>44</v>
      </c>
      <c r="O21">
        <f>SUMIF(B$2:B$32,N21,F$2:F$32)</f>
        <v>98</v>
      </c>
    </row>
    <row r="22" spans="1:15">
      <c r="A22" s="18" t="s">
        <v>45</v>
      </c>
      <c r="B22" s="12" t="s">
        <v>43</v>
      </c>
      <c r="C22" s="2" t="s">
        <v>46</v>
      </c>
      <c r="D22" s="2">
        <v>199</v>
      </c>
      <c r="E22" s="2">
        <v>199</v>
      </c>
      <c r="F22" s="2">
        <f>+D22-E22</f>
        <v>0</v>
      </c>
      <c r="G22" s="2" t="s">
        <v>47</v>
      </c>
      <c r="H22" s="11" t="s">
        <v>48</v>
      </c>
      <c r="N22" s="2" t="s">
        <v>49</v>
      </c>
      <c r="O22">
        <f>SUMIF(B$2:B$32,N22,F$2:F$32)</f>
        <v>6</v>
      </c>
    </row>
    <row r="23" spans="1:15">
      <c r="A23" s="18"/>
      <c r="B23" s="12" t="s">
        <v>44</v>
      </c>
      <c r="C23" s="2" t="s">
        <v>46</v>
      </c>
      <c r="D23" s="2">
        <v>204</v>
      </c>
      <c r="E23" s="2">
        <v>204</v>
      </c>
      <c r="F23" s="2">
        <f>+D23-E23</f>
        <v>0</v>
      </c>
      <c r="G23" s="2" t="s">
        <v>47</v>
      </c>
      <c r="H23" s="11" t="s">
        <v>48</v>
      </c>
      <c r="N23" s="2" t="s">
        <v>50</v>
      </c>
      <c r="O23">
        <f>SUMIF(B$2:B$32,N23,F$2:F$32)</f>
        <v>10</v>
      </c>
    </row>
    <row r="24" spans="1:15">
      <c r="A24" s="19" t="s">
        <v>51</v>
      </c>
      <c r="B24" s="10" t="s">
        <v>41</v>
      </c>
      <c r="C24" s="2" t="s">
        <v>52</v>
      </c>
      <c r="D24" s="2">
        <v>48</v>
      </c>
      <c r="E24" s="2">
        <v>42</v>
      </c>
      <c r="F24" s="2">
        <f>+D24-E24</f>
        <v>6</v>
      </c>
      <c r="G24" s="2" t="s">
        <v>47</v>
      </c>
      <c r="H24" s="2"/>
      <c r="N24" s="2" t="s">
        <v>53</v>
      </c>
      <c r="O24">
        <f>SUMIF(B$2:B$32,N24,F$2:F$32)</f>
        <v>30</v>
      </c>
    </row>
    <row r="25" spans="1:15">
      <c r="A25" s="19"/>
      <c r="B25" s="10" t="s">
        <v>40</v>
      </c>
      <c r="C25" s="2" t="s">
        <v>52</v>
      </c>
      <c r="D25" s="2">
        <v>60</v>
      </c>
      <c r="E25" s="2">
        <v>48</v>
      </c>
      <c r="F25" s="2">
        <f>+D25-E25</f>
        <v>12</v>
      </c>
      <c r="G25" s="2" t="s">
        <v>47</v>
      </c>
      <c r="H25" s="2"/>
    </row>
    <row r="26" spans="1:15">
      <c r="A26" s="19"/>
      <c r="B26" s="10" t="s">
        <v>49</v>
      </c>
      <c r="C26" s="2" t="s">
        <v>52</v>
      </c>
      <c r="D26" s="2">
        <v>6</v>
      </c>
      <c r="E26" s="2">
        <v>0</v>
      </c>
      <c r="F26" s="2">
        <f>+D26-E26</f>
        <v>6</v>
      </c>
      <c r="G26" s="2" t="s">
        <v>47</v>
      </c>
      <c r="H26" s="2"/>
    </row>
    <row r="27" spans="1:15">
      <c r="A27" s="4" t="s">
        <v>45</v>
      </c>
      <c r="B27" s="5" t="s">
        <v>44</v>
      </c>
      <c r="C27" s="5" t="s">
        <v>54</v>
      </c>
      <c r="D27" s="5">
        <v>178</v>
      </c>
      <c r="E27" s="5">
        <v>80</v>
      </c>
      <c r="F27" s="2">
        <v>98</v>
      </c>
      <c r="G27" s="5" t="s">
        <v>55</v>
      </c>
      <c r="H27" s="13" t="s">
        <v>56</v>
      </c>
    </row>
    <row r="28" spans="1:15">
      <c r="A28" s="20" t="s">
        <v>29</v>
      </c>
      <c r="B28" s="10" t="s">
        <v>50</v>
      </c>
      <c r="C28" s="2" t="s">
        <v>57</v>
      </c>
      <c r="D28" s="2">
        <v>20</v>
      </c>
      <c r="E28" s="2">
        <v>10</v>
      </c>
      <c r="F28" s="2">
        <f>+D28-E28</f>
        <v>10</v>
      </c>
      <c r="G28" s="3" t="s">
        <v>11</v>
      </c>
      <c r="H28" s="3"/>
    </row>
    <row r="29" spans="1:15">
      <c r="A29" s="20"/>
      <c r="B29" s="21" t="s">
        <v>53</v>
      </c>
      <c r="C29" s="3" t="s">
        <v>57</v>
      </c>
      <c r="D29" s="3">
        <v>60</v>
      </c>
      <c r="E29" s="3">
        <v>30</v>
      </c>
      <c r="F29" s="2">
        <f>+D29-E29</f>
        <v>30</v>
      </c>
      <c r="G29" s="3" t="s">
        <v>11</v>
      </c>
      <c r="H29" s="3"/>
    </row>
    <row r="30" spans="1:15">
      <c r="A30" s="20"/>
      <c r="B30" s="21" t="s">
        <v>41</v>
      </c>
      <c r="C30" s="3" t="s">
        <v>57</v>
      </c>
      <c r="D30" s="3">
        <v>90</v>
      </c>
      <c r="E30" s="3">
        <v>30</v>
      </c>
      <c r="F30" s="2">
        <f>+D30-E30</f>
        <v>60</v>
      </c>
      <c r="G30" s="3" t="s">
        <v>11</v>
      </c>
      <c r="H30" s="3"/>
    </row>
    <row r="31" spans="1:15">
      <c r="A31" s="20"/>
      <c r="B31" s="21" t="s">
        <v>40</v>
      </c>
      <c r="C31" s="3" t="s">
        <v>57</v>
      </c>
      <c r="D31" s="3">
        <v>24</v>
      </c>
      <c r="E31" s="3">
        <v>12</v>
      </c>
      <c r="F31" s="2">
        <f>+D31-E31</f>
        <v>12</v>
      </c>
      <c r="G31" s="3" t="s">
        <v>11</v>
      </c>
      <c r="H31" s="3"/>
    </row>
    <row r="32" spans="1:15">
      <c r="A32" s="20"/>
      <c r="B32" s="21" t="s">
        <v>37</v>
      </c>
      <c r="C32" s="3" t="s">
        <v>57</v>
      </c>
      <c r="D32" s="3">
        <v>60</v>
      </c>
      <c r="E32" s="3">
        <v>20</v>
      </c>
      <c r="F32" s="2">
        <f>+D32-E32</f>
        <v>40</v>
      </c>
      <c r="G32" s="3" t="s">
        <v>11</v>
      </c>
      <c r="H32" s="3"/>
    </row>
  </sheetData>
  <mergeCells count="5">
    <mergeCell ref="A2:A9"/>
    <mergeCell ref="A10:A21"/>
    <mergeCell ref="A22:A23"/>
    <mergeCell ref="A24:A26"/>
    <mergeCell ref="A28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Gandirs Badamtsogt</cp:lastModifiedBy>
  <cp:revision/>
  <dcterms:created xsi:type="dcterms:W3CDTF">2024-07-08T09:13:31Z</dcterms:created>
  <dcterms:modified xsi:type="dcterms:W3CDTF">2025-03-17T03:17:05Z</dcterms:modified>
  <cp:category/>
  <cp:contentStatus/>
</cp:coreProperties>
</file>