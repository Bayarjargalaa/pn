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eDBaG\Documents\GitHub\pn\data\"/>
    </mc:Choice>
  </mc:AlternateContent>
  <xr:revisionPtr revIDLastSave="0" documentId="13_ncr:1_{80527052-E721-4CB7-9DE3-1EDEACFE9CB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Sheet!$A$6:$M$153</definedName>
    <definedName name="_xlnm._FilterDatabase" localSheetId="1" hidden="1">Sheet1!$A$6:$W$68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2" l="1"/>
  <c r="M32" i="2" s="1"/>
  <c r="M33" i="2" s="1"/>
  <c r="M34" i="2" s="1"/>
  <c r="M35" i="2" s="1"/>
  <c r="M36" i="2" s="1"/>
  <c r="M37" i="2" s="1"/>
  <c r="M38" i="2" s="1"/>
  <c r="M39" i="2" s="1"/>
  <c r="M40" i="2" s="1"/>
  <c r="M25" i="2"/>
  <c r="M26" i="2" s="1"/>
  <c r="M27" i="2" s="1"/>
  <c r="M28" i="2" s="1"/>
  <c r="M29" i="2" s="1"/>
  <c r="M30" i="2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9" i="1"/>
</calcChain>
</file>

<file path=xl/sharedStrings.xml><?xml version="1.0" encoding="utf-8"?>
<sst xmlns="http://schemas.openxmlformats.org/spreadsheetml/2006/main" count="502" uniqueCount="121">
  <si>
    <t>Повернутрэйшн ХХК</t>
  </si>
  <si>
    <t>Харилцагчийн дэлгэрэнгүй тайлан</t>
  </si>
  <si>
    <t>2022/01/01 - 2025/05/31</t>
  </si>
  <si>
    <t>№</t>
  </si>
  <si>
    <t>Огноо</t>
  </si>
  <si>
    <t>Гүйлгээний утга</t>
  </si>
  <si>
    <t>Дебет</t>
  </si>
  <si>
    <t>Кредит</t>
  </si>
  <si>
    <t>Үлдэгдэл</t>
  </si>
  <si>
    <t>1301003 - AllStars</t>
  </si>
  <si>
    <t>120102 - Дансны авлага /Евро/</t>
  </si>
  <si>
    <t>EUR</t>
  </si>
  <si>
    <t>Эхний үлдэгдэл</t>
  </si>
  <si>
    <t>ХЗ102944</t>
  </si>
  <si>
    <t>СФ.шилжүүлэв бэлэн бусаар. /RFB/PRODUCT PAYMENTKUNDEN NUMMER 118695POWE - DE30760695590000700096</t>
  </si>
  <si>
    <t>ХЗ102987</t>
  </si>
  <si>
    <t>СФ.шилжүүлэв бэлэн бусаар. /RFB/RECHNUNG 219255590CUSTOMER 461312POWER  - DE93 7035 1030 0000 926956</t>
  </si>
  <si>
    <t>ХЗ117191</t>
  </si>
  <si>
    <t>СФ.шилжүүлэв бэлэн бусаар. /RFB/PAYMENT OF SUPPLEMENT,INVOICE NO 21993760 - DE93 7035 1030 0000 926956</t>
  </si>
  <si>
    <t>ХЗ117208</t>
  </si>
  <si>
    <t>СФ.шилжүүлэв бэлэн бусаар. /RFB/PAYMENT OF SUPPLEMENT,POWER NUTRITIONOR - DE93 7035 1030 0000 926956</t>
  </si>
  <si>
    <t>Харилцагчийн ханшийн тэгшитгэл</t>
  </si>
  <si>
    <t>АТ100054</t>
  </si>
  <si>
    <t>Авлага өглөг хаав</t>
  </si>
  <si>
    <t>ХЗ110356</t>
  </si>
  <si>
    <t>СФ.шилжүүлэв бэлэн бусаар. /RFB/PAYMENT OF SUPPLEMENT,INVOICE NO 2839468 - DE93 7035 1030 0000 926956</t>
  </si>
  <si>
    <t>ХЗ110389</t>
  </si>
  <si>
    <t>СФ.шилжүүлэв бэлэн бусаар. /RFB/PAYMENT OF SUPPLEMENT, ALL STARSORDER N - DE59 7016 0000 0000 131265</t>
  </si>
  <si>
    <t>ХЗ110393</t>
  </si>
  <si>
    <t>ХЗ148066</t>
  </si>
  <si>
    <t>СФ.шилжүүлэв бэлэн бусаар. /RFB/PAYMENT OF SUPPLEMENT,ALL STARS2 INVOIC - DE56 7039 0000 0103 2901 82</t>
  </si>
  <si>
    <t>АТ140209</t>
  </si>
  <si>
    <t>АХ140007</t>
  </si>
  <si>
    <t>Тооцооны ханшийн тэгшитгэл</t>
  </si>
  <si>
    <t>ТА100002</t>
  </si>
  <si>
    <t>Татан авалт</t>
  </si>
  <si>
    <t>АХ100002</t>
  </si>
  <si>
    <t>Дансны дүн</t>
  </si>
  <si>
    <t>310102 - Дансны өглөг /Евро/</t>
  </si>
  <si>
    <t>АТ110007</t>
  </si>
  <si>
    <t>СФ.шилжүүлэв бэлэн бусаар. /RFB/INVOICE NO 21915476 CUSTOMER: 461312POW - DE93 7035 1030 0000 926956</t>
  </si>
  <si>
    <t>ТА100019</t>
  </si>
  <si>
    <t>ТА100011</t>
  </si>
  <si>
    <t>ТА100027</t>
  </si>
  <si>
    <t>allstars 5-24</t>
  </si>
  <si>
    <t>АТ110076</t>
  </si>
  <si>
    <t>СФ.шилжүүлэв бэлэн бусаар. /RFB/INVOICE NO: 21939264CUSTOMER: 461312POW - DE93 7035 1030 0000 926956</t>
  </si>
  <si>
    <t>ТА100016</t>
  </si>
  <si>
    <t>ТА100030</t>
  </si>
  <si>
    <t>ХЗ104313</t>
  </si>
  <si>
    <t>СФ.шилжүүлэв бэлэн бусаар. /RFB/PAYMENT OF SUPPLEMENT,INVOICE NO 21939264 - DE93 7035 1030 0000 926956</t>
  </si>
  <si>
    <t>ТА100014</t>
  </si>
  <si>
    <t>АТ110078</t>
  </si>
  <si>
    <t>СФ.шилжүүлэв бэлэн бусаар. /RFB/PAYMENT OF SUPPLEMENT,ALL STARSPOWER NU - DE93 7035 1030 0000 926956</t>
  </si>
  <si>
    <t>allstar 1/15</t>
  </si>
  <si>
    <t>ТА140004</t>
  </si>
  <si>
    <t>ТА140009</t>
  </si>
  <si>
    <t>ТА140010</t>
  </si>
  <si>
    <t>ТА140011</t>
  </si>
  <si>
    <t>Татан авалт /дутуу/</t>
  </si>
  <si>
    <t>ТА140012</t>
  </si>
  <si>
    <t>ТА140013</t>
  </si>
  <si>
    <t>ТА140027</t>
  </si>
  <si>
    <t>ТА140033</t>
  </si>
  <si>
    <t>Устгалд оруулах барааны татан авалт</t>
  </si>
  <si>
    <t>ТА140031</t>
  </si>
  <si>
    <t>ТА140023</t>
  </si>
  <si>
    <t>ТА140025</t>
  </si>
  <si>
    <t>АХ100001</t>
  </si>
  <si>
    <t>Авлагын дүн</t>
  </si>
  <si>
    <t>Өглөгийн дүн</t>
  </si>
  <si>
    <t>Харилцагчийн дүн</t>
  </si>
  <si>
    <t>Total</t>
  </si>
  <si>
    <t>Тайлан гаргасан:</t>
  </si>
  <si>
    <t>Administrator</t>
  </si>
  <si>
    <t>Нягтлан бодогч:</t>
  </si>
  <si>
    <t>Баяржаргал</t>
  </si>
  <si>
    <t>Гүйцэтгэх Захирал:</t>
  </si>
  <si>
    <t>Б. Эрхэмбаяр</t>
  </si>
  <si>
    <t>Хэвлэсэн огноо : 2025/06/23 07: 46: 11</t>
  </si>
  <si>
    <t>Хуудас 1 / 1</t>
  </si>
  <si>
    <r>
      <rPr>
        <sz val="9"/>
        <rFont val="Arial"/>
        <family val="2"/>
      </rPr>
      <t>Rechnung</t>
    </r>
  </si>
  <si>
    <r>
      <rPr>
        <sz val="9"/>
        <rFont val="Arial"/>
        <family val="2"/>
      </rPr>
      <t>7.013,70</t>
    </r>
  </si>
  <si>
    <r>
      <rPr>
        <sz val="9"/>
        <rFont val="Arial"/>
        <family val="2"/>
      </rPr>
      <t>EUR</t>
    </r>
  </si>
  <si>
    <r>
      <rPr>
        <sz val="9"/>
        <rFont val="Arial"/>
        <family val="2"/>
      </rPr>
      <t>-7.013,70</t>
    </r>
  </si>
  <si>
    <r>
      <rPr>
        <sz val="9"/>
        <rFont val="Arial"/>
        <family val="2"/>
      </rPr>
      <t>8.381,40</t>
    </r>
  </si>
  <si>
    <r>
      <rPr>
        <sz val="9"/>
        <rFont val="Arial"/>
        <family val="2"/>
      </rPr>
      <t>-15.395,10</t>
    </r>
  </si>
  <si>
    <r>
      <rPr>
        <sz val="9"/>
        <rFont val="Arial"/>
        <family val="2"/>
      </rPr>
      <t>Zahlungseingang</t>
    </r>
  </si>
  <si>
    <r>
      <rPr>
        <sz val="9"/>
        <rFont val="Arial"/>
        <family val="2"/>
      </rPr>
      <t>-8.381,40</t>
    </r>
  </si>
  <si>
    <r>
      <rPr>
        <sz val="9"/>
        <rFont val="Arial"/>
        <family val="2"/>
      </rPr>
      <t>22.425,55</t>
    </r>
  </si>
  <si>
    <r>
      <rPr>
        <sz val="9"/>
        <rFont val="Arial"/>
        <family val="2"/>
      </rPr>
      <t>-30.806,95</t>
    </r>
  </si>
  <si>
    <r>
      <rPr>
        <sz val="9"/>
        <rFont val="Arial"/>
        <family val="2"/>
      </rPr>
      <t>-22.425,55</t>
    </r>
  </si>
  <si>
    <r>
      <rPr>
        <sz val="9"/>
        <rFont val="Arial"/>
        <family val="2"/>
      </rPr>
      <t>1.030,74</t>
    </r>
  </si>
  <si>
    <r>
      <rPr>
        <sz val="9"/>
        <rFont val="Arial"/>
        <family val="2"/>
      </rPr>
      <t>-23.456,29</t>
    </r>
  </si>
  <si>
    <r>
      <rPr>
        <sz val="9"/>
        <rFont val="Arial"/>
        <family val="2"/>
      </rPr>
      <t>0,00</t>
    </r>
  </si>
  <si>
    <r>
      <rPr>
        <sz val="9"/>
        <rFont val="Arial"/>
        <family val="2"/>
      </rPr>
      <t>1.205,89</t>
    </r>
  </si>
  <si>
    <r>
      <rPr>
        <sz val="9"/>
        <rFont val="Arial"/>
        <family val="2"/>
      </rPr>
      <t>-24.662,18</t>
    </r>
  </si>
  <si>
    <r>
      <rPr>
        <sz val="9"/>
        <rFont val="Arial"/>
        <family val="2"/>
      </rPr>
      <t>12.425,75</t>
    </r>
  </si>
  <si>
    <r>
      <rPr>
        <sz val="9"/>
        <rFont val="Arial"/>
        <family val="2"/>
      </rPr>
      <t>-12.236,43</t>
    </r>
  </si>
  <si>
    <r>
      <rPr>
        <sz val="9"/>
        <rFont val="Arial"/>
        <family val="2"/>
      </rPr>
      <t>13.506,00</t>
    </r>
  </si>
  <si>
    <r>
      <rPr>
        <sz val="9"/>
        <rFont val="Arial"/>
        <family val="2"/>
      </rPr>
      <t>-25.742,43</t>
    </r>
  </si>
  <si>
    <r>
      <rPr>
        <sz val="9"/>
        <rFont val="Arial"/>
        <family val="2"/>
      </rPr>
      <t>12.236,43</t>
    </r>
  </si>
  <si>
    <r>
      <rPr>
        <sz val="9"/>
        <rFont val="Arial"/>
        <family val="2"/>
      </rPr>
      <t>-13.506,00</t>
    </r>
  </si>
  <si>
    <r>
      <rPr>
        <sz val="9"/>
        <rFont val="Arial"/>
        <family val="2"/>
      </rPr>
      <t>1.169,00</t>
    </r>
  </si>
  <si>
    <r>
      <rPr>
        <sz val="9"/>
        <rFont val="Arial"/>
        <family val="2"/>
      </rPr>
      <t>-14.675,00</t>
    </r>
  </si>
  <si>
    <r>
      <rPr>
        <sz val="9"/>
        <rFont val="Arial"/>
        <family val="2"/>
      </rPr>
      <t>2.450,99</t>
    </r>
  </si>
  <si>
    <r>
      <rPr>
        <sz val="9"/>
        <rFont val="Arial"/>
        <family val="2"/>
      </rPr>
      <t>-2.450,99</t>
    </r>
  </si>
  <si>
    <r>
      <rPr>
        <sz val="9"/>
        <rFont val="Arial"/>
        <family val="2"/>
      </rPr>
      <t>17.228,00</t>
    </r>
  </si>
  <si>
    <r>
      <rPr>
        <sz val="9"/>
        <rFont val="Arial"/>
        <family val="2"/>
      </rPr>
      <t>-17.228,00</t>
    </r>
  </si>
  <si>
    <r>
      <rPr>
        <sz val="9"/>
        <rFont val="Arial"/>
        <family val="2"/>
      </rPr>
      <t>14.436,00</t>
    </r>
  </si>
  <si>
    <r>
      <rPr>
        <sz val="9"/>
        <rFont val="Arial"/>
        <family val="2"/>
      </rPr>
      <t>-14.436,00</t>
    </r>
  </si>
  <si>
    <r>
      <rPr>
        <sz val="9"/>
        <rFont val="Arial"/>
        <family val="2"/>
      </rPr>
      <t>3.488,00</t>
    </r>
  </si>
  <si>
    <r>
      <rPr>
        <sz val="9"/>
        <rFont val="Arial"/>
        <family val="2"/>
      </rPr>
      <t>-17.924,00</t>
    </r>
  </si>
  <si>
    <r>
      <rPr>
        <sz val="9"/>
        <rFont val="Arial"/>
        <family val="2"/>
      </rPr>
      <t>-3.488,00</t>
    </r>
  </si>
  <si>
    <r>
      <rPr>
        <sz val="9"/>
        <rFont val="Arial"/>
        <family val="2"/>
      </rPr>
      <t>1.214,00</t>
    </r>
  </si>
  <si>
    <r>
      <rPr>
        <sz val="9"/>
        <rFont val="Arial"/>
        <family val="2"/>
      </rPr>
      <t>-1.214,00</t>
    </r>
  </si>
  <si>
    <r>
      <rPr>
        <sz val="9"/>
        <rFont val="Arial"/>
        <family val="2"/>
      </rPr>
      <t>13.242,00</t>
    </r>
  </si>
  <si>
    <r>
      <rPr>
        <sz val="9"/>
        <rFont val="Arial"/>
        <family val="2"/>
      </rPr>
      <t>-14.456,00</t>
    </r>
  </si>
  <si>
    <r>
      <rPr>
        <sz val="9"/>
        <rFont val="Arial"/>
        <family val="2"/>
      </rPr>
      <t>14.456,00</t>
    </r>
  </si>
  <si>
    <r>
      <rPr>
        <sz val="9"/>
        <rFont val="Arial"/>
        <family val="2"/>
      </rPr>
      <t>4.879,00</t>
    </r>
  </si>
  <si>
    <r>
      <rPr>
        <sz val="9"/>
        <rFont val="Arial"/>
        <family val="2"/>
      </rPr>
      <t>-4.879,00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</si>
</sst>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Огноо : &quot;@"/>
    <numFmt numFmtId="165" formatCode="##,##0.00"/>
    <numFmt numFmtId="166" formatCode="&quot;/ &quot;@&quot; /&quot;"/>
    <numFmt numFmtId="167" formatCode="dd\.mm\.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b/>
      <sz val="11"/>
      <name val="Tahoma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Font="1"/>
    <xf numFmtId="49" fontId="2" fillId="0" borderId="0" xfId="0" applyNumberFormat="1" applyFont="1" applyAlignment="1">
      <alignment vertical="center" readingOrder="1"/>
    </xf>
    <xf numFmtId="0" fontId="3" fillId="0" borderId="0" xfId="0" applyFont="1" applyAlignment="1">
      <alignment horizontal="center" vertical="top" wrapText="1" shrinkToFit="1" readingOrder="1"/>
    </xf>
    <xf numFmtId="164" fontId="2" fillId="0" borderId="0" xfId="0" applyNumberFormat="1" applyFont="1" applyAlignment="1">
      <alignment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vertical="center" wrapText="1" shrinkToFit="1" readingOrder="1"/>
    </xf>
    <xf numFmtId="49" fontId="3" fillId="0" borderId="0" xfId="0" applyNumberFormat="1" applyFont="1" applyAlignment="1">
      <alignment vertical="center" readingOrder="1"/>
    </xf>
    <xf numFmtId="0" fontId="3" fillId="0" borderId="0" xfId="0" applyFont="1" applyAlignment="1">
      <alignment horizontal="left" vertical="center" wrapText="1" indent="5" shrinkToFit="1" readingOrder="1"/>
    </xf>
    <xf numFmtId="49" fontId="3" fillId="0" borderId="0" xfId="0" applyNumberFormat="1" applyFont="1" applyAlignment="1">
      <alignment horizontal="left" vertical="center" wrapText="1" indent="5" shrinkToFit="1" readingOrder="1"/>
    </xf>
    <xf numFmtId="0" fontId="3" fillId="0" borderId="0" xfId="0" applyFont="1" applyAlignment="1">
      <alignment horizontal="right" vertical="center" wrapText="1" shrinkToFit="1" readingOrder="1"/>
    </xf>
    <xf numFmtId="165" fontId="3" fillId="0" borderId="0" xfId="0" applyNumberFormat="1" applyFont="1" applyAlignment="1">
      <alignment vertical="center" wrapText="1" shrinkToFit="1" readingOrder="1"/>
    </xf>
    <xf numFmtId="49" fontId="3" fillId="0" borderId="0" xfId="0" applyNumberFormat="1" applyFont="1" applyAlignment="1">
      <alignment vertical="center" wrapText="1" shrinkToFit="1" readingOrder="1"/>
    </xf>
    <xf numFmtId="49" fontId="2" fillId="0" borderId="0" xfId="0" applyNumberFormat="1" applyFont="1" applyAlignment="1">
      <alignment horizontal="left" vertical="center" readingOrder="1"/>
    </xf>
    <xf numFmtId="14" fontId="2" fillId="0" borderId="0" xfId="0" applyNumberFormat="1" applyFont="1" applyAlignment="1">
      <alignment vertical="center" readingOrder="1"/>
    </xf>
    <xf numFmtId="49" fontId="2" fillId="0" borderId="0" xfId="0" applyNumberFormat="1" applyFont="1" applyAlignment="1">
      <alignment vertical="center" wrapText="1" shrinkToFit="1" readingOrder="1"/>
    </xf>
    <xf numFmtId="165" fontId="2" fillId="0" borderId="0" xfId="0" applyNumberFormat="1" applyFont="1" applyAlignment="1">
      <alignment vertical="center" readingOrder="1"/>
    </xf>
    <xf numFmtId="165" fontId="2" fillId="0" borderId="0" xfId="0" applyNumberFormat="1" applyFont="1" applyAlignment="1">
      <alignment horizontal="right" vertical="center" readingOrder="1"/>
    </xf>
    <xf numFmtId="165" fontId="2" fillId="0" borderId="0" xfId="0" applyNumberFormat="1" applyFont="1" applyAlignment="1">
      <alignment vertical="center" wrapText="1" shrinkToFit="1" readingOrder="1"/>
    </xf>
    <xf numFmtId="165" fontId="2" fillId="0" borderId="0" xfId="0" applyNumberFormat="1" applyFont="1" applyAlignment="1">
      <alignment horizontal="right" vertical="center" wrapText="1" shrinkToFit="1" readingOrder="1"/>
    </xf>
    <xf numFmtId="0" fontId="2" fillId="0" borderId="0" xfId="0" applyFont="1" applyAlignment="1">
      <alignment horizontal="left" vertical="center" readingOrder="1"/>
    </xf>
    <xf numFmtId="165" fontId="3" fillId="0" borderId="0" xfId="0" applyNumberFormat="1" applyFont="1" applyAlignment="1">
      <alignment horizontal="right" vertical="center" wrapText="1" shrinkToFit="1" readingOrder="1"/>
    </xf>
    <xf numFmtId="0" fontId="2" fillId="0" borderId="0" xfId="0" applyFont="1" applyAlignment="1">
      <alignment vertical="center" wrapText="1" shrinkToFit="1" readingOrder="1"/>
    </xf>
    <xf numFmtId="166" fontId="2" fillId="0" borderId="0" xfId="0" applyNumberFormat="1" applyFont="1" applyAlignment="1">
      <alignment vertical="center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0" fillId="0" borderId="0" xfId="0" applyNumberFormat="1" applyFont="1"/>
    <xf numFmtId="0" fontId="3" fillId="0" borderId="0" xfId="0" applyNumberFormat="1" applyFont="1" applyAlignment="1">
      <alignment horizontal="center" vertical="top" wrapText="1" shrinkToFit="1" readingOrder="1"/>
    </xf>
    <xf numFmtId="0" fontId="3" fillId="0" borderId="0" xfId="0" applyNumberFormat="1" applyFont="1" applyAlignment="1">
      <alignment vertical="center" wrapText="1" shrinkToFit="1" readingOrder="1"/>
    </xf>
    <xf numFmtId="0" fontId="3" fillId="0" borderId="0" xfId="0" applyNumberFormat="1" applyFont="1" applyAlignment="1">
      <alignment vertical="center" readingOrder="1"/>
    </xf>
    <xf numFmtId="0" fontId="2" fillId="0" borderId="0" xfId="0" applyNumberFormat="1" applyFont="1" applyAlignment="1">
      <alignment vertical="center" readingOrder="1"/>
    </xf>
    <xf numFmtId="0" fontId="2" fillId="0" borderId="0" xfId="0" applyNumberFormat="1" applyFont="1" applyAlignment="1">
      <alignment vertical="center" wrapText="1" shrinkToFit="1" readingOrder="1"/>
    </xf>
    <xf numFmtId="14" fontId="2" fillId="0" borderId="0" xfId="0" applyNumberFormat="1" applyFont="1" applyAlignment="1">
      <alignment vertical="center" wrapText="1" shrinkToFit="1" readingOrder="1"/>
    </xf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167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right" vertical="top" wrapText="1" indent="1"/>
    </xf>
    <xf numFmtId="0" fontId="5" fillId="0" borderId="0" xfId="0" applyFont="1" applyAlignment="1">
      <alignment horizontal="center" vertical="top" wrapText="1"/>
    </xf>
    <xf numFmtId="167" fontId="4" fillId="4" borderId="0" xfId="0" applyNumberFormat="1" applyFont="1" applyFill="1" applyAlignment="1">
      <alignment horizontal="center" vertical="top" shrinkToFit="1"/>
    </xf>
    <xf numFmtId="1" fontId="4" fillId="4" borderId="0" xfId="0" applyNumberFormat="1" applyFont="1" applyFill="1" applyAlignment="1">
      <alignment horizontal="center" vertical="top" shrinkToFit="1"/>
    </xf>
    <xf numFmtId="0" fontId="5" fillId="4" borderId="0" xfId="0" applyFont="1" applyFill="1" applyAlignment="1">
      <alignment horizontal="left" vertical="top" wrapText="1" indent="2"/>
    </xf>
    <xf numFmtId="0" fontId="5" fillId="4" borderId="0" xfId="0" applyFont="1" applyFill="1" applyAlignment="1">
      <alignment horizontal="right" vertical="top" wrapText="1"/>
    </xf>
    <xf numFmtId="0" fontId="5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right" vertical="top" wrapText="1" indent="1"/>
    </xf>
    <xf numFmtId="0" fontId="0" fillId="4" borderId="0" xfId="0" applyFill="1" applyAlignment="1">
      <alignment horizontal="left" wrapText="1"/>
    </xf>
    <xf numFmtId="0" fontId="5" fillId="4" borderId="0" xfId="0" applyFont="1" applyFill="1" applyAlignment="1">
      <alignment horizontal="center" vertical="top" wrapText="1"/>
    </xf>
    <xf numFmtId="43" fontId="0" fillId="0" borderId="0" xfId="1" applyFont="1"/>
    <xf numFmtId="43" fontId="0" fillId="3" borderId="0" xfId="1" applyFont="1" applyFill="1"/>
    <xf numFmtId="43" fontId="0" fillId="2" borderId="0" xfId="1" applyFont="1" applyFill="1"/>
    <xf numFmtId="14" fontId="0" fillId="0" borderId="0" xfId="0" applyNumberFormat="1" applyFill="1"/>
    <xf numFmtId="0" fontId="0" fillId="0" borderId="0" xfId="0" applyFill="1"/>
    <xf numFmtId="43" fontId="0" fillId="0" borderId="0" xfId="1" applyFont="1" applyFill="1"/>
    <xf numFmtId="43" fontId="5" fillId="4" borderId="0" xfId="1" applyFont="1" applyFill="1" applyAlignment="1">
      <alignment horizontal="right" vertical="top" wrapText="1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  <pageSetUpPr fitToPage="1"/>
  </sheetPr>
  <dimension ref="A1:M153"/>
  <sheetViews>
    <sheetView workbookViewId="0">
      <selection activeCell="A23" sqref="A1:M153"/>
    </sheetView>
  </sheetViews>
  <sheetFormatPr defaultRowHeight="15" x14ac:dyDescent="0.25"/>
  <cols>
    <col min="1" max="1" width="40.42578125" style="1" bestFit="1" customWidth="1"/>
    <col min="2" max="2" width="11.85546875" style="1" bestFit="1" customWidth="1"/>
    <col min="3" max="3" width="18.28515625" style="25" bestFit="1" customWidth="1"/>
    <col min="4" max="4" width="70.140625" style="1" hidden="1" customWidth="1"/>
    <col min="5" max="5" width="119.5703125" style="25" bestFit="1" customWidth="1"/>
    <col min="6" max="6" width="19.42578125" style="1" bestFit="1" customWidth="1"/>
    <col min="7" max="7" width="16.42578125" style="1" bestFit="1" customWidth="1"/>
    <col min="8" max="8" width="33.5703125" style="1" bestFit="1" customWidth="1"/>
    <col min="9" max="9" width="12.140625" style="1" bestFit="1" customWidth="1"/>
    <col min="10" max="10" width="19.42578125" style="1" bestFit="1" customWidth="1"/>
    <col min="11" max="11" width="18" style="1" bestFit="1" customWidth="1"/>
    <col min="12" max="12" width="21.5703125" style="1" bestFit="1" customWidth="1"/>
    <col min="13" max="13" width="13.28515625" style="1" bestFit="1" customWidth="1"/>
    <col min="14" max="16384" width="9.140625" style="1"/>
  </cols>
  <sheetData>
    <row r="1" spans="1:13" ht="16.5" customHeight="1" x14ac:dyDescent="0.25">
      <c r="L1" s="2" t="s">
        <v>0</v>
      </c>
      <c r="M1" s="2"/>
    </row>
    <row r="2" spans="1:13" ht="19.5" customHeight="1" x14ac:dyDescent="0.25">
      <c r="A2" s="3" t="s">
        <v>1</v>
      </c>
      <c r="B2" s="3"/>
      <c r="C2" s="26"/>
      <c r="D2" s="3"/>
      <c r="E2" s="26"/>
      <c r="F2" s="3"/>
      <c r="G2" s="3"/>
      <c r="H2" s="3"/>
      <c r="I2" s="3"/>
      <c r="J2" s="3"/>
      <c r="K2" s="3"/>
      <c r="L2" s="3"/>
      <c r="M2" s="3"/>
    </row>
    <row r="3" spans="1:13" ht="16.5" customHeight="1" x14ac:dyDescent="0.25">
      <c r="A3" s="3"/>
      <c r="B3" s="3"/>
      <c r="C3" s="26"/>
      <c r="D3" s="3"/>
      <c r="E3" s="26"/>
      <c r="F3" s="3"/>
      <c r="G3" s="3"/>
      <c r="H3" s="4" t="s">
        <v>2</v>
      </c>
      <c r="I3" s="4"/>
      <c r="J3" s="4"/>
      <c r="K3" s="4"/>
      <c r="L3" s="4"/>
      <c r="M3" s="4"/>
    </row>
    <row r="4" spans="1:13" ht="28.5" customHeight="1" x14ac:dyDescent="0.25">
      <c r="A4" s="5" t="s">
        <v>3</v>
      </c>
      <c r="B4" s="6" t="s">
        <v>4</v>
      </c>
      <c r="C4" s="27"/>
      <c r="D4" s="6" t="s">
        <v>5</v>
      </c>
      <c r="E4" s="27"/>
      <c r="F4" s="6" t="s">
        <v>6</v>
      </c>
      <c r="G4" s="6"/>
      <c r="H4" s="6"/>
      <c r="I4" s="6"/>
      <c r="J4" s="5" t="s">
        <v>7</v>
      </c>
      <c r="K4" s="6" t="s">
        <v>8</v>
      </c>
      <c r="L4" s="6"/>
      <c r="M4" s="6"/>
    </row>
    <row r="5" spans="1:13" ht="15" customHeight="1" x14ac:dyDescent="0.25">
      <c r="A5" s="7" t="s">
        <v>9</v>
      </c>
      <c r="B5" s="7"/>
      <c r="C5" s="28"/>
      <c r="D5" s="7"/>
      <c r="E5" s="28"/>
      <c r="F5" s="7"/>
      <c r="G5" s="7"/>
      <c r="H5" s="7"/>
      <c r="I5" s="7"/>
      <c r="J5" s="7"/>
      <c r="K5" s="7"/>
      <c r="L5" s="7"/>
      <c r="M5" s="7"/>
    </row>
    <row r="6" spans="1:13" ht="14.25" customHeight="1" x14ac:dyDescent="0.25">
      <c r="A6" s="7" t="s">
        <v>10</v>
      </c>
      <c r="B6" s="7"/>
      <c r="C6" s="28"/>
      <c r="D6" s="7"/>
      <c r="E6" s="28"/>
      <c r="F6" s="7"/>
      <c r="G6" s="7"/>
      <c r="H6" s="8">
        <v>2.3101614092744812E+18</v>
      </c>
      <c r="I6" s="9" t="s">
        <v>11</v>
      </c>
      <c r="J6" s="10" t="s">
        <v>12</v>
      </c>
      <c r="K6" s="11">
        <v>0</v>
      </c>
      <c r="L6" s="11"/>
      <c r="M6" s="11"/>
    </row>
    <row r="7" spans="1:13" ht="14.25" customHeight="1" x14ac:dyDescent="0.25">
      <c r="A7" s="12" t="s">
        <v>11</v>
      </c>
      <c r="B7" s="12"/>
      <c r="C7" s="27"/>
      <c r="D7" s="12"/>
      <c r="E7" s="27"/>
      <c r="F7" s="12"/>
      <c r="G7" s="12"/>
      <c r="H7" s="12"/>
      <c r="I7" s="12"/>
      <c r="J7" s="12"/>
      <c r="K7" s="11">
        <v>0</v>
      </c>
      <c r="L7" s="11"/>
      <c r="M7" s="11"/>
    </row>
    <row r="8" spans="1:13" ht="14.25" hidden="1" customHeight="1" x14ac:dyDescent="0.25">
      <c r="A8" s="13"/>
      <c r="B8" s="14">
        <v>44926</v>
      </c>
      <c r="C8" s="29"/>
      <c r="D8" s="15" t="s">
        <v>12</v>
      </c>
      <c r="E8" s="30"/>
      <c r="F8" s="16">
        <v>11613732.4</v>
      </c>
      <c r="G8" s="16"/>
      <c r="H8" s="16"/>
      <c r="I8" s="16"/>
      <c r="J8" s="17">
        <v>0</v>
      </c>
      <c r="K8" s="16">
        <v>11613732.4</v>
      </c>
      <c r="L8" s="16"/>
      <c r="M8" s="16"/>
    </row>
    <row r="9" spans="1:13" ht="14.25" customHeight="1" x14ac:dyDescent="0.25">
      <c r="A9" s="15" t="s">
        <v>11</v>
      </c>
      <c r="B9" s="15"/>
      <c r="C9" s="31">
        <f>+B8</f>
        <v>44926</v>
      </c>
      <c r="D9" s="15"/>
      <c r="E9" s="15" t="str">
        <f>+D8</f>
        <v>Эхний үлдэгдэл</v>
      </c>
      <c r="F9" s="18">
        <v>3524.45</v>
      </c>
      <c r="G9" s="18"/>
      <c r="H9" s="18"/>
      <c r="I9" s="18"/>
      <c r="J9" s="19">
        <v>0</v>
      </c>
      <c r="K9" s="18">
        <v>3524.45</v>
      </c>
      <c r="L9" s="18"/>
      <c r="M9" s="18"/>
    </row>
    <row r="10" spans="1:13" ht="30" hidden="1" customHeight="1" x14ac:dyDescent="0.25">
      <c r="A10" s="13" t="s">
        <v>13</v>
      </c>
      <c r="B10" s="14">
        <v>44949</v>
      </c>
      <c r="C10" s="31">
        <f t="shared" ref="C10:C73" si="0">+B9</f>
        <v>0</v>
      </c>
      <c r="D10" s="15" t="s">
        <v>14</v>
      </c>
      <c r="E10" s="15">
        <f t="shared" ref="E10:E73" si="1">+D9</f>
        <v>0</v>
      </c>
      <c r="F10" s="16">
        <v>33088156.579999998</v>
      </c>
      <c r="G10" s="16"/>
      <c r="H10" s="16"/>
      <c r="I10" s="16"/>
      <c r="J10" s="17">
        <v>0</v>
      </c>
      <c r="K10" s="16">
        <v>44701888.979999997</v>
      </c>
      <c r="L10" s="16"/>
      <c r="M10" s="16"/>
    </row>
    <row r="11" spans="1:13" ht="14.25" customHeight="1" x14ac:dyDescent="0.25">
      <c r="A11" s="15" t="s">
        <v>11</v>
      </c>
      <c r="B11" s="15"/>
      <c r="C11" s="31">
        <f t="shared" si="0"/>
        <v>44949</v>
      </c>
      <c r="D11" s="15"/>
      <c r="E11" s="15" t="str">
        <f t="shared" si="1"/>
        <v>СФ.шилжүүлэв бэлэн бусаар. /RFB/PRODUCT PAYMENTKUNDEN NUMMER 118695POWE - DE30760695590000700096</v>
      </c>
      <c r="F11" s="18">
        <v>8782.5</v>
      </c>
      <c r="G11" s="18"/>
      <c r="H11" s="18"/>
      <c r="I11" s="18"/>
      <c r="J11" s="19">
        <v>0</v>
      </c>
      <c r="K11" s="18">
        <v>12306.95</v>
      </c>
      <c r="L11" s="18"/>
      <c r="M11" s="18"/>
    </row>
    <row r="12" spans="1:13" ht="29.25" hidden="1" customHeight="1" x14ac:dyDescent="0.25">
      <c r="A12" s="13" t="s">
        <v>15</v>
      </c>
      <c r="B12" s="14">
        <v>44987</v>
      </c>
      <c r="C12" s="31">
        <f t="shared" si="0"/>
        <v>0</v>
      </c>
      <c r="D12" s="15" t="s">
        <v>16</v>
      </c>
      <c r="E12" s="15">
        <f t="shared" si="1"/>
        <v>0</v>
      </c>
      <c r="F12" s="16">
        <v>31404602.920000002</v>
      </c>
      <c r="G12" s="16"/>
      <c r="H12" s="16"/>
      <c r="I12" s="16"/>
      <c r="J12" s="17">
        <v>0</v>
      </c>
      <c r="K12" s="16">
        <v>76106491.900000006</v>
      </c>
      <c r="L12" s="16"/>
      <c r="M12" s="16"/>
    </row>
    <row r="13" spans="1:13" ht="14.25" customHeight="1" x14ac:dyDescent="0.25">
      <c r="A13" s="15" t="s">
        <v>11</v>
      </c>
      <c r="B13" s="15"/>
      <c r="C13" s="31">
        <f t="shared" si="0"/>
        <v>44987</v>
      </c>
      <c r="D13" s="15"/>
      <c r="E13" s="15" t="str">
        <f t="shared" si="1"/>
        <v>СФ.шилжүүлэв бэлэн бусаар. /RFB/RECHNUNG 219255590CUSTOMER 461312POWER  - DE93 7035 1030 0000 926956</v>
      </c>
      <c r="F13" s="18">
        <v>8381.4</v>
      </c>
      <c r="G13" s="18"/>
      <c r="H13" s="18"/>
      <c r="I13" s="18"/>
      <c r="J13" s="19">
        <v>0</v>
      </c>
      <c r="K13" s="18">
        <v>20688.349999999999</v>
      </c>
      <c r="L13" s="18"/>
      <c r="M13" s="18"/>
    </row>
    <row r="14" spans="1:13" ht="29.25" hidden="1" customHeight="1" x14ac:dyDescent="0.25">
      <c r="A14" s="13" t="s">
        <v>17</v>
      </c>
      <c r="B14" s="14">
        <v>45257</v>
      </c>
      <c r="C14" s="31">
        <f t="shared" si="0"/>
        <v>0</v>
      </c>
      <c r="D14" s="15" t="s">
        <v>18</v>
      </c>
      <c r="E14" s="15">
        <f t="shared" si="1"/>
        <v>0</v>
      </c>
      <c r="F14" s="16">
        <v>4382475.79</v>
      </c>
      <c r="G14" s="16"/>
      <c r="H14" s="16"/>
      <c r="I14" s="16"/>
      <c r="J14" s="17">
        <v>0</v>
      </c>
      <c r="K14" s="16">
        <v>80488967.689999998</v>
      </c>
      <c r="L14" s="16"/>
      <c r="M14" s="16"/>
    </row>
    <row r="15" spans="1:13" ht="15" customHeight="1" x14ac:dyDescent="0.25">
      <c r="A15" s="15" t="s">
        <v>11</v>
      </c>
      <c r="B15" s="15"/>
      <c r="C15" s="31">
        <f t="shared" si="0"/>
        <v>45257</v>
      </c>
      <c r="D15" s="15"/>
      <c r="E15" s="15" t="str">
        <f t="shared" si="1"/>
        <v>СФ.шилжүүлэв бэлэн бусаар. /RFB/PAYMENT OF SUPPLEMENT,INVOICE NO 21993760 - DE93 7035 1030 0000 926956</v>
      </c>
      <c r="F15" s="18">
        <v>1169</v>
      </c>
      <c r="G15" s="18"/>
      <c r="H15" s="18"/>
      <c r="I15" s="18"/>
      <c r="J15" s="19">
        <v>0</v>
      </c>
      <c r="K15" s="18">
        <v>21857.35</v>
      </c>
      <c r="L15" s="18"/>
      <c r="M15" s="18"/>
    </row>
    <row r="16" spans="1:13" ht="29.25" hidden="1" customHeight="1" x14ac:dyDescent="0.25">
      <c r="A16" s="13" t="s">
        <v>19</v>
      </c>
      <c r="B16" s="14">
        <v>45274</v>
      </c>
      <c r="C16" s="31">
        <f t="shared" si="0"/>
        <v>0</v>
      </c>
      <c r="D16" s="15" t="s">
        <v>20</v>
      </c>
      <c r="E16" s="15">
        <f t="shared" si="1"/>
        <v>0</v>
      </c>
      <c r="F16" s="16">
        <v>9045844.2799999993</v>
      </c>
      <c r="G16" s="16"/>
      <c r="H16" s="16"/>
      <c r="I16" s="16"/>
      <c r="J16" s="17">
        <v>0</v>
      </c>
      <c r="K16" s="16">
        <v>89534811.969999999</v>
      </c>
      <c r="L16" s="16"/>
      <c r="M16" s="16"/>
    </row>
    <row r="17" spans="1:13" ht="14.25" customHeight="1" x14ac:dyDescent="0.25">
      <c r="A17" s="15" t="s">
        <v>11</v>
      </c>
      <c r="B17" s="15"/>
      <c r="C17" s="31">
        <f t="shared" si="0"/>
        <v>45274</v>
      </c>
      <c r="D17" s="15"/>
      <c r="E17" s="15" t="str">
        <f t="shared" si="1"/>
        <v>СФ.шилжүүлэв бэлэн бусаар. /RFB/PAYMENT OF SUPPLEMENT,POWER NUTRITIONOR - DE93 7035 1030 0000 926956</v>
      </c>
      <c r="F17" s="18">
        <v>2450.9899999999998</v>
      </c>
      <c r="G17" s="18"/>
      <c r="H17" s="18"/>
      <c r="I17" s="18"/>
      <c r="J17" s="19">
        <v>0</v>
      </c>
      <c r="K17" s="18">
        <v>24308.34</v>
      </c>
      <c r="L17" s="18"/>
      <c r="M17" s="18"/>
    </row>
    <row r="18" spans="1:13" ht="14.25" hidden="1" customHeight="1" x14ac:dyDescent="0.25">
      <c r="A18" s="20"/>
      <c r="B18" s="14">
        <v>45291</v>
      </c>
      <c r="C18" s="31">
        <f t="shared" si="0"/>
        <v>0</v>
      </c>
      <c r="D18" s="15" t="s">
        <v>21</v>
      </c>
      <c r="E18" s="15">
        <f t="shared" si="1"/>
        <v>0</v>
      </c>
      <c r="F18" s="16">
        <v>2209258.23</v>
      </c>
      <c r="G18" s="16"/>
      <c r="H18" s="16"/>
      <c r="I18" s="16"/>
      <c r="J18" s="17">
        <v>0</v>
      </c>
      <c r="K18" s="16">
        <v>91744070.200000003</v>
      </c>
      <c r="L18" s="16"/>
      <c r="M18" s="16"/>
    </row>
    <row r="19" spans="1:13" ht="14.25" customHeight="1" x14ac:dyDescent="0.25">
      <c r="A19" s="15" t="s">
        <v>11</v>
      </c>
      <c r="B19" s="15"/>
      <c r="C19" s="31">
        <f t="shared" si="0"/>
        <v>45291</v>
      </c>
      <c r="D19" s="15"/>
      <c r="E19" s="15" t="str">
        <f t="shared" si="1"/>
        <v>Харилцагчийн ханшийн тэгшитгэл</v>
      </c>
      <c r="F19" s="18">
        <v>0</v>
      </c>
      <c r="G19" s="18"/>
      <c r="H19" s="18"/>
      <c r="I19" s="18"/>
      <c r="J19" s="19">
        <v>0</v>
      </c>
      <c r="K19" s="18">
        <v>24308.34</v>
      </c>
      <c r="L19" s="18"/>
      <c r="M19" s="18"/>
    </row>
    <row r="20" spans="1:13" ht="15" hidden="1" customHeight="1" x14ac:dyDescent="0.25">
      <c r="A20" s="13" t="s">
        <v>22</v>
      </c>
      <c r="B20" s="14">
        <v>45291</v>
      </c>
      <c r="C20" s="31">
        <f t="shared" si="0"/>
        <v>0</v>
      </c>
      <c r="D20" s="15" t="s">
        <v>23</v>
      </c>
      <c r="E20" s="15">
        <f t="shared" si="1"/>
        <v>0</v>
      </c>
      <c r="F20" s="16">
        <v>0</v>
      </c>
      <c r="G20" s="16"/>
      <c r="H20" s="16"/>
      <c r="I20" s="16"/>
      <c r="J20" s="17">
        <v>4382475.79</v>
      </c>
      <c r="K20" s="16">
        <v>87361594.409999996</v>
      </c>
      <c r="L20" s="16"/>
      <c r="M20" s="16"/>
    </row>
    <row r="21" spans="1:13" ht="14.25" customHeight="1" x14ac:dyDescent="0.25">
      <c r="A21" s="15" t="s">
        <v>11</v>
      </c>
      <c r="B21" s="15"/>
      <c r="C21" s="31">
        <f t="shared" si="0"/>
        <v>45291</v>
      </c>
      <c r="D21" s="15"/>
      <c r="E21" s="15" t="str">
        <f t="shared" si="1"/>
        <v>Авлага өглөг хаав</v>
      </c>
      <c r="F21" s="18">
        <v>0</v>
      </c>
      <c r="G21" s="18"/>
      <c r="H21" s="18"/>
      <c r="I21" s="18"/>
      <c r="J21" s="19">
        <v>1169</v>
      </c>
      <c r="K21" s="18">
        <v>23139.34</v>
      </c>
      <c r="L21" s="18"/>
      <c r="M21" s="18"/>
    </row>
    <row r="22" spans="1:13" ht="14.25" hidden="1" customHeight="1" x14ac:dyDescent="0.25">
      <c r="A22" s="13" t="s">
        <v>22</v>
      </c>
      <c r="B22" s="14">
        <v>45291</v>
      </c>
      <c r="C22" s="31">
        <f t="shared" si="0"/>
        <v>0</v>
      </c>
      <c r="D22" s="15" t="s">
        <v>23</v>
      </c>
      <c r="E22" s="15">
        <f t="shared" si="1"/>
        <v>0</v>
      </c>
      <c r="F22" s="16">
        <v>0</v>
      </c>
      <c r="G22" s="16"/>
      <c r="H22" s="16"/>
      <c r="I22" s="16"/>
      <c r="J22" s="17">
        <v>31404602.920000002</v>
      </c>
      <c r="K22" s="16">
        <v>55956991.490000002</v>
      </c>
      <c r="L22" s="16"/>
      <c r="M22" s="16"/>
    </row>
    <row r="23" spans="1:13" ht="14.25" customHeight="1" x14ac:dyDescent="0.25">
      <c r="A23" s="15" t="s">
        <v>11</v>
      </c>
      <c r="B23" s="15"/>
      <c r="C23" s="31">
        <f t="shared" si="0"/>
        <v>45291</v>
      </c>
      <c r="D23" s="15"/>
      <c r="E23" s="15" t="str">
        <f t="shared" si="1"/>
        <v>Авлага өглөг хаав</v>
      </c>
      <c r="F23" s="18">
        <v>0</v>
      </c>
      <c r="G23" s="18"/>
      <c r="H23" s="18"/>
      <c r="I23" s="18"/>
      <c r="J23" s="19">
        <v>8381.4</v>
      </c>
      <c r="K23" s="18">
        <v>14757.94</v>
      </c>
      <c r="L23" s="18"/>
      <c r="M23" s="18"/>
    </row>
    <row r="24" spans="1:13" ht="14.25" hidden="1" customHeight="1" x14ac:dyDescent="0.25">
      <c r="A24" s="13" t="s">
        <v>22</v>
      </c>
      <c r="B24" s="14">
        <v>45291</v>
      </c>
      <c r="C24" s="31">
        <f t="shared" si="0"/>
        <v>0</v>
      </c>
      <c r="D24" s="15" t="s">
        <v>23</v>
      </c>
      <c r="E24" s="15">
        <f t="shared" si="1"/>
        <v>0</v>
      </c>
      <c r="F24" s="16">
        <v>0</v>
      </c>
      <c r="G24" s="16"/>
      <c r="H24" s="16"/>
      <c r="I24" s="16"/>
      <c r="J24" s="17">
        <v>659.04</v>
      </c>
      <c r="K24" s="16">
        <v>55956332.450000003</v>
      </c>
      <c r="L24" s="16"/>
      <c r="M24" s="16"/>
    </row>
    <row r="25" spans="1:13" ht="15" customHeight="1" x14ac:dyDescent="0.25">
      <c r="A25" s="15" t="s">
        <v>11</v>
      </c>
      <c r="B25" s="15"/>
      <c r="C25" s="31">
        <f t="shared" si="0"/>
        <v>45291</v>
      </c>
      <c r="D25" s="15"/>
      <c r="E25" s="15" t="str">
        <f t="shared" si="1"/>
        <v>Авлага өглөг хаав</v>
      </c>
      <c r="F25" s="18">
        <v>0</v>
      </c>
      <c r="G25" s="18"/>
      <c r="H25" s="18"/>
      <c r="I25" s="18"/>
      <c r="J25" s="19">
        <v>0.2</v>
      </c>
      <c r="K25" s="18">
        <v>14757.74</v>
      </c>
      <c r="L25" s="18"/>
      <c r="M25" s="18"/>
    </row>
    <row r="26" spans="1:13" ht="29.25" hidden="1" customHeight="1" x14ac:dyDescent="0.25">
      <c r="A26" s="13" t="s">
        <v>24</v>
      </c>
      <c r="B26" s="14">
        <v>45371</v>
      </c>
      <c r="C26" s="31">
        <f t="shared" si="0"/>
        <v>0</v>
      </c>
      <c r="D26" s="15" t="s">
        <v>25</v>
      </c>
      <c r="E26" s="15">
        <f t="shared" si="1"/>
        <v>0</v>
      </c>
      <c r="F26" s="16">
        <v>63145788.399999999</v>
      </c>
      <c r="G26" s="16"/>
      <c r="H26" s="16"/>
      <c r="I26" s="16"/>
      <c r="J26" s="17">
        <v>0</v>
      </c>
      <c r="K26" s="16">
        <v>119102120.84999999</v>
      </c>
      <c r="L26" s="16"/>
      <c r="M26" s="16"/>
    </row>
    <row r="27" spans="1:13" ht="14.25" customHeight="1" x14ac:dyDescent="0.25">
      <c r="A27" s="15" t="s">
        <v>11</v>
      </c>
      <c r="B27" s="15"/>
      <c r="C27" s="31">
        <f t="shared" si="0"/>
        <v>45371</v>
      </c>
      <c r="D27" s="15"/>
      <c r="E27" s="15" t="str">
        <f t="shared" si="1"/>
        <v>СФ.шилжүүлэв бэлэн бусаар. /RFB/PAYMENT OF SUPPLEMENT,INVOICE NO 2839468 - DE93 7035 1030 0000 926956</v>
      </c>
      <c r="F27" s="18">
        <v>17228</v>
      </c>
      <c r="G27" s="18"/>
      <c r="H27" s="18"/>
      <c r="I27" s="18"/>
      <c r="J27" s="19">
        <v>0</v>
      </c>
      <c r="K27" s="18">
        <v>31985.74</v>
      </c>
      <c r="L27" s="18"/>
      <c r="M27" s="18"/>
    </row>
    <row r="28" spans="1:13" ht="29.25" hidden="1" customHeight="1" x14ac:dyDescent="0.25">
      <c r="A28" s="13" t="s">
        <v>26</v>
      </c>
      <c r="B28" s="14">
        <v>45404</v>
      </c>
      <c r="C28" s="31">
        <f t="shared" si="0"/>
        <v>0</v>
      </c>
      <c r="D28" s="15" t="s">
        <v>27</v>
      </c>
      <c r="E28" s="15">
        <f t="shared" si="1"/>
        <v>0</v>
      </c>
      <c r="F28" s="16">
        <v>12550696</v>
      </c>
      <c r="G28" s="16"/>
      <c r="H28" s="16"/>
      <c r="I28" s="16"/>
      <c r="J28" s="17">
        <v>0</v>
      </c>
      <c r="K28" s="16">
        <v>131652816.84999999</v>
      </c>
      <c r="L28" s="16"/>
      <c r="M28" s="16"/>
    </row>
    <row r="29" spans="1:13" ht="14.25" customHeight="1" x14ac:dyDescent="0.25">
      <c r="A29" s="15" t="s">
        <v>11</v>
      </c>
      <c r="B29" s="15"/>
      <c r="C29" s="31">
        <f t="shared" si="0"/>
        <v>45404</v>
      </c>
      <c r="D29" s="15"/>
      <c r="E29" s="15" t="str">
        <f t="shared" si="1"/>
        <v>СФ.шилжүүлэв бэлэн бусаар. /RFB/PAYMENT OF SUPPLEMENT, ALL STARSORDER N - DE59 7016 0000 0000 131265</v>
      </c>
      <c r="F29" s="18">
        <v>3488</v>
      </c>
      <c r="G29" s="18"/>
      <c r="H29" s="18"/>
      <c r="I29" s="18"/>
      <c r="J29" s="19">
        <v>0</v>
      </c>
      <c r="K29" s="18">
        <v>35473.74</v>
      </c>
      <c r="L29" s="18"/>
      <c r="M29" s="18"/>
    </row>
    <row r="30" spans="1:13" ht="30" hidden="1" customHeight="1" x14ac:dyDescent="0.25">
      <c r="A30" s="13" t="s">
        <v>28</v>
      </c>
      <c r="B30" s="14">
        <v>45405</v>
      </c>
      <c r="C30" s="31">
        <f t="shared" si="0"/>
        <v>0</v>
      </c>
      <c r="D30" s="15" t="s">
        <v>27</v>
      </c>
      <c r="E30" s="15">
        <f t="shared" si="1"/>
        <v>0</v>
      </c>
      <c r="F30" s="16">
        <v>51952565.520000003</v>
      </c>
      <c r="G30" s="16"/>
      <c r="H30" s="16"/>
      <c r="I30" s="16"/>
      <c r="J30" s="17">
        <v>0</v>
      </c>
      <c r="K30" s="16">
        <v>183605382.37</v>
      </c>
      <c r="L30" s="16"/>
      <c r="M30" s="16"/>
    </row>
    <row r="31" spans="1:13" ht="14.25" customHeight="1" x14ac:dyDescent="0.25">
      <c r="A31" s="15" t="s">
        <v>11</v>
      </c>
      <c r="B31" s="15"/>
      <c r="C31" s="31">
        <f t="shared" si="0"/>
        <v>45405</v>
      </c>
      <c r="D31" s="15"/>
      <c r="E31" s="15" t="str">
        <f t="shared" si="1"/>
        <v>СФ.шилжүүлэв бэлэн бусаар. /RFB/PAYMENT OF SUPPLEMENT, ALL STARSORDER N - DE59 7016 0000 0000 131265</v>
      </c>
      <c r="F31" s="18">
        <v>14436</v>
      </c>
      <c r="G31" s="18"/>
      <c r="H31" s="18"/>
      <c r="I31" s="18"/>
      <c r="J31" s="19">
        <v>0</v>
      </c>
      <c r="K31" s="18">
        <v>49909.74</v>
      </c>
      <c r="L31" s="18"/>
      <c r="M31" s="18"/>
    </row>
    <row r="32" spans="1:13" ht="29.25" hidden="1" customHeight="1" x14ac:dyDescent="0.25">
      <c r="A32" s="13" t="s">
        <v>29</v>
      </c>
      <c r="B32" s="14">
        <v>45565</v>
      </c>
      <c r="C32" s="31">
        <f t="shared" si="0"/>
        <v>0</v>
      </c>
      <c r="D32" s="15" t="s">
        <v>30</v>
      </c>
      <c r="E32" s="15">
        <f t="shared" si="1"/>
        <v>0</v>
      </c>
      <c r="F32" s="16">
        <v>54407902.640000001</v>
      </c>
      <c r="G32" s="16"/>
      <c r="H32" s="16"/>
      <c r="I32" s="16"/>
      <c r="J32" s="17">
        <v>0</v>
      </c>
      <c r="K32" s="16">
        <v>238013285.00999999</v>
      </c>
      <c r="L32" s="16"/>
      <c r="M32" s="16"/>
    </row>
    <row r="33" spans="1:13" ht="14.25" customHeight="1" x14ac:dyDescent="0.25">
      <c r="A33" s="15" t="s">
        <v>11</v>
      </c>
      <c r="B33" s="15"/>
      <c r="C33" s="31">
        <f t="shared" si="0"/>
        <v>45565</v>
      </c>
      <c r="D33" s="15"/>
      <c r="E33" s="15" t="str">
        <f t="shared" si="1"/>
        <v>СФ.шилжүүлэв бэлэн бусаар. /RFB/PAYMENT OF SUPPLEMENT,ALL STARS2 INVOIC - DE56 7039 0000 0103 2901 82</v>
      </c>
      <c r="F33" s="18">
        <v>14456</v>
      </c>
      <c r="G33" s="18"/>
      <c r="H33" s="18"/>
      <c r="I33" s="18"/>
      <c r="J33" s="19">
        <v>0</v>
      </c>
      <c r="K33" s="18">
        <v>64365.74</v>
      </c>
      <c r="L33" s="18"/>
      <c r="M33" s="18"/>
    </row>
    <row r="34" spans="1:13" ht="14.25" hidden="1" customHeight="1" x14ac:dyDescent="0.25">
      <c r="A34" s="13" t="s">
        <v>31</v>
      </c>
      <c r="B34" s="14">
        <v>45657</v>
      </c>
      <c r="C34" s="31">
        <f t="shared" si="0"/>
        <v>0</v>
      </c>
      <c r="D34" s="15" t="s">
        <v>23</v>
      </c>
      <c r="E34" s="15">
        <f t="shared" si="1"/>
        <v>0</v>
      </c>
      <c r="F34" s="16">
        <v>0</v>
      </c>
      <c r="G34" s="16"/>
      <c r="H34" s="16"/>
      <c r="I34" s="16"/>
      <c r="J34" s="17">
        <v>33088156.579999998</v>
      </c>
      <c r="K34" s="16">
        <v>204925128.43000001</v>
      </c>
      <c r="L34" s="16"/>
      <c r="M34" s="16"/>
    </row>
    <row r="35" spans="1:13" ht="15" customHeight="1" x14ac:dyDescent="0.25">
      <c r="A35" s="15" t="s">
        <v>11</v>
      </c>
      <c r="B35" s="15"/>
      <c r="C35" s="31">
        <f t="shared" si="0"/>
        <v>45657</v>
      </c>
      <c r="D35" s="15"/>
      <c r="E35" s="15" t="str">
        <f t="shared" si="1"/>
        <v>Авлага өглөг хаав</v>
      </c>
      <c r="F35" s="18">
        <v>0</v>
      </c>
      <c r="G35" s="18"/>
      <c r="H35" s="18"/>
      <c r="I35" s="18"/>
      <c r="J35" s="19">
        <v>8782.5</v>
      </c>
      <c r="K35" s="18">
        <v>55583.24</v>
      </c>
      <c r="L35" s="18"/>
      <c r="M35" s="18"/>
    </row>
    <row r="36" spans="1:13" ht="14.25" hidden="1" customHeight="1" x14ac:dyDescent="0.25">
      <c r="A36" s="13" t="s">
        <v>31</v>
      </c>
      <c r="B36" s="14">
        <v>45657</v>
      </c>
      <c r="C36" s="31">
        <f t="shared" si="0"/>
        <v>0</v>
      </c>
      <c r="D36" s="15" t="s">
        <v>23</v>
      </c>
      <c r="E36" s="15">
        <f t="shared" si="1"/>
        <v>0</v>
      </c>
      <c r="F36" s="16">
        <v>0</v>
      </c>
      <c r="G36" s="16"/>
      <c r="H36" s="16"/>
      <c r="I36" s="16"/>
      <c r="J36" s="17">
        <v>9045844.2799999993</v>
      </c>
      <c r="K36" s="16">
        <v>195879284.15000001</v>
      </c>
      <c r="L36" s="16"/>
      <c r="M36" s="16"/>
    </row>
    <row r="37" spans="1:13" ht="14.25" customHeight="1" x14ac:dyDescent="0.25">
      <c r="A37" s="15" t="s">
        <v>11</v>
      </c>
      <c r="B37" s="15"/>
      <c r="C37" s="31">
        <f t="shared" si="0"/>
        <v>45657</v>
      </c>
      <c r="D37" s="15"/>
      <c r="E37" s="15" t="str">
        <f t="shared" si="1"/>
        <v>Авлага өглөг хаав</v>
      </c>
      <c r="F37" s="18">
        <v>0</v>
      </c>
      <c r="G37" s="18"/>
      <c r="H37" s="18"/>
      <c r="I37" s="18"/>
      <c r="J37" s="19">
        <v>2450.9899999999998</v>
      </c>
      <c r="K37" s="18">
        <v>53132.25</v>
      </c>
      <c r="L37" s="18"/>
      <c r="M37" s="18"/>
    </row>
    <row r="38" spans="1:13" ht="14.25" hidden="1" customHeight="1" x14ac:dyDescent="0.25">
      <c r="A38" s="13" t="s">
        <v>31</v>
      </c>
      <c r="B38" s="14">
        <v>45657</v>
      </c>
      <c r="C38" s="31">
        <f t="shared" si="0"/>
        <v>0</v>
      </c>
      <c r="D38" s="15" t="s">
        <v>23</v>
      </c>
      <c r="E38" s="15">
        <f t="shared" si="1"/>
        <v>0</v>
      </c>
      <c r="F38" s="16">
        <v>0</v>
      </c>
      <c r="G38" s="16"/>
      <c r="H38" s="16"/>
      <c r="I38" s="16"/>
      <c r="J38" s="17">
        <v>63145788.399999999</v>
      </c>
      <c r="K38" s="16">
        <v>132733495.75</v>
      </c>
      <c r="L38" s="16"/>
      <c r="M38" s="16"/>
    </row>
    <row r="39" spans="1:13" ht="14.25" customHeight="1" x14ac:dyDescent="0.25">
      <c r="A39" s="15" t="s">
        <v>11</v>
      </c>
      <c r="B39" s="15"/>
      <c r="C39" s="31">
        <f t="shared" si="0"/>
        <v>45657</v>
      </c>
      <c r="D39" s="15"/>
      <c r="E39" s="15" t="str">
        <f t="shared" si="1"/>
        <v>Авлага өглөг хаав</v>
      </c>
      <c r="F39" s="18">
        <v>0</v>
      </c>
      <c r="G39" s="18"/>
      <c r="H39" s="18"/>
      <c r="I39" s="18"/>
      <c r="J39" s="19">
        <v>17228</v>
      </c>
      <c r="K39" s="18">
        <v>35904.25</v>
      </c>
      <c r="L39" s="18"/>
      <c r="M39" s="18"/>
    </row>
    <row r="40" spans="1:13" ht="15" hidden="1" customHeight="1" x14ac:dyDescent="0.25">
      <c r="A40" s="13" t="s">
        <v>31</v>
      </c>
      <c r="B40" s="14">
        <v>45657</v>
      </c>
      <c r="C40" s="31">
        <f t="shared" si="0"/>
        <v>0</v>
      </c>
      <c r="D40" s="15" t="s">
        <v>23</v>
      </c>
      <c r="E40" s="15">
        <f t="shared" si="1"/>
        <v>0</v>
      </c>
      <c r="F40" s="16">
        <v>0</v>
      </c>
      <c r="G40" s="16"/>
      <c r="H40" s="16"/>
      <c r="I40" s="16"/>
      <c r="J40" s="17">
        <v>12550696</v>
      </c>
      <c r="K40" s="16">
        <v>120182799.75</v>
      </c>
      <c r="L40" s="16"/>
      <c r="M40" s="16"/>
    </row>
    <row r="41" spans="1:13" ht="14.25" customHeight="1" x14ac:dyDescent="0.25">
      <c r="A41" s="15" t="s">
        <v>11</v>
      </c>
      <c r="B41" s="15"/>
      <c r="C41" s="31">
        <f t="shared" si="0"/>
        <v>45657</v>
      </c>
      <c r="D41" s="15"/>
      <c r="E41" s="15" t="str">
        <f t="shared" si="1"/>
        <v>Авлага өглөг хаав</v>
      </c>
      <c r="F41" s="18">
        <v>0</v>
      </c>
      <c r="G41" s="18"/>
      <c r="H41" s="18"/>
      <c r="I41" s="18"/>
      <c r="J41" s="19">
        <v>3488</v>
      </c>
      <c r="K41" s="18">
        <v>32416.25</v>
      </c>
      <c r="L41" s="18"/>
      <c r="M41" s="18"/>
    </row>
    <row r="42" spans="1:13" ht="14.25" hidden="1" customHeight="1" x14ac:dyDescent="0.25">
      <c r="A42" s="13" t="s">
        <v>31</v>
      </c>
      <c r="B42" s="14">
        <v>45657</v>
      </c>
      <c r="C42" s="31">
        <f t="shared" si="0"/>
        <v>0</v>
      </c>
      <c r="D42" s="15" t="s">
        <v>23</v>
      </c>
      <c r="E42" s="15">
        <f t="shared" si="1"/>
        <v>0</v>
      </c>
      <c r="F42" s="16">
        <v>0</v>
      </c>
      <c r="G42" s="16"/>
      <c r="H42" s="16"/>
      <c r="I42" s="16"/>
      <c r="J42" s="17">
        <v>51952565.520000003</v>
      </c>
      <c r="K42" s="16">
        <v>68230234.230000004</v>
      </c>
      <c r="L42" s="16"/>
      <c r="M42" s="16"/>
    </row>
    <row r="43" spans="1:13" ht="14.25" customHeight="1" x14ac:dyDescent="0.25">
      <c r="A43" s="15" t="s">
        <v>11</v>
      </c>
      <c r="B43" s="15"/>
      <c r="C43" s="31">
        <f t="shared" si="0"/>
        <v>45657</v>
      </c>
      <c r="D43" s="15"/>
      <c r="E43" s="15" t="str">
        <f t="shared" si="1"/>
        <v>Авлага өглөг хаав</v>
      </c>
      <c r="F43" s="18">
        <v>0</v>
      </c>
      <c r="G43" s="18"/>
      <c r="H43" s="18"/>
      <c r="I43" s="18"/>
      <c r="J43" s="19">
        <v>14436</v>
      </c>
      <c r="K43" s="18">
        <v>17980.25</v>
      </c>
      <c r="L43" s="18"/>
      <c r="M43" s="18"/>
    </row>
    <row r="44" spans="1:13" ht="14.25" hidden="1" customHeight="1" x14ac:dyDescent="0.25">
      <c r="A44" s="13" t="s">
        <v>31</v>
      </c>
      <c r="B44" s="14">
        <v>45657</v>
      </c>
      <c r="C44" s="31">
        <f t="shared" si="0"/>
        <v>0</v>
      </c>
      <c r="D44" s="15" t="s">
        <v>23</v>
      </c>
      <c r="E44" s="15">
        <f t="shared" si="1"/>
        <v>0</v>
      </c>
      <c r="F44" s="16">
        <v>0</v>
      </c>
      <c r="G44" s="16"/>
      <c r="H44" s="16"/>
      <c r="I44" s="16"/>
      <c r="J44" s="17">
        <v>8089110.7300000004</v>
      </c>
      <c r="K44" s="16">
        <v>60141123.5</v>
      </c>
      <c r="L44" s="16"/>
      <c r="M44" s="16"/>
    </row>
    <row r="45" spans="1:13" ht="15" customHeight="1" x14ac:dyDescent="0.25">
      <c r="A45" s="15" t="s">
        <v>11</v>
      </c>
      <c r="B45" s="15"/>
      <c r="C45" s="31">
        <f t="shared" si="0"/>
        <v>45657</v>
      </c>
      <c r="D45" s="15"/>
      <c r="E45" s="15" t="str">
        <f t="shared" si="1"/>
        <v>Авлага өглөг хаав</v>
      </c>
      <c r="F45" s="18">
        <v>0</v>
      </c>
      <c r="G45" s="18"/>
      <c r="H45" s="18"/>
      <c r="I45" s="18"/>
      <c r="J45" s="19">
        <v>2149.25</v>
      </c>
      <c r="K45" s="18">
        <v>15831</v>
      </c>
      <c r="L45" s="18"/>
      <c r="M45" s="18"/>
    </row>
    <row r="46" spans="1:13" ht="14.25" hidden="1" customHeight="1" x14ac:dyDescent="0.25">
      <c r="A46" s="13" t="s">
        <v>31</v>
      </c>
      <c r="B46" s="14">
        <v>45657</v>
      </c>
      <c r="C46" s="31">
        <f t="shared" si="0"/>
        <v>0</v>
      </c>
      <c r="D46" s="15" t="s">
        <v>23</v>
      </c>
      <c r="E46" s="15">
        <f t="shared" si="1"/>
        <v>0</v>
      </c>
      <c r="F46" s="16">
        <v>0</v>
      </c>
      <c r="G46" s="16"/>
      <c r="H46" s="16"/>
      <c r="I46" s="16"/>
      <c r="J46" s="17">
        <v>11613073.359999999</v>
      </c>
      <c r="K46" s="16">
        <v>48528050.140000001</v>
      </c>
      <c r="L46" s="16"/>
      <c r="M46" s="16"/>
    </row>
    <row r="47" spans="1:13" ht="14.25" customHeight="1" x14ac:dyDescent="0.25">
      <c r="A47" s="15" t="s">
        <v>11</v>
      </c>
      <c r="B47" s="15"/>
      <c r="C47" s="31">
        <f t="shared" si="0"/>
        <v>45657</v>
      </c>
      <c r="D47" s="15"/>
      <c r="E47" s="15" t="str">
        <f t="shared" si="1"/>
        <v>Авлага өглөг хаав</v>
      </c>
      <c r="F47" s="18">
        <v>0</v>
      </c>
      <c r="G47" s="18"/>
      <c r="H47" s="18"/>
      <c r="I47" s="18"/>
      <c r="J47" s="19">
        <v>3524.25</v>
      </c>
      <c r="K47" s="18">
        <v>12306.75</v>
      </c>
      <c r="L47" s="18"/>
      <c r="M47" s="18"/>
    </row>
    <row r="48" spans="1:13" ht="14.25" hidden="1" customHeight="1" x14ac:dyDescent="0.25">
      <c r="A48" s="13" t="s">
        <v>32</v>
      </c>
      <c r="B48" s="14">
        <v>45657</v>
      </c>
      <c r="C48" s="31">
        <f t="shared" si="0"/>
        <v>0</v>
      </c>
      <c r="D48" s="15" t="s">
        <v>33</v>
      </c>
      <c r="E48" s="15">
        <f t="shared" si="1"/>
        <v>0</v>
      </c>
      <c r="F48" s="16">
        <v>0</v>
      </c>
      <c r="G48" s="16"/>
      <c r="H48" s="16"/>
      <c r="I48" s="16"/>
      <c r="J48" s="17">
        <v>2420860.79</v>
      </c>
      <c r="K48" s="16">
        <v>46107189.350000001</v>
      </c>
      <c r="L48" s="16"/>
      <c r="M48" s="16"/>
    </row>
    <row r="49" spans="1:13" ht="14.25" customHeight="1" x14ac:dyDescent="0.25">
      <c r="A49" s="15" t="s">
        <v>11</v>
      </c>
      <c r="B49" s="15"/>
      <c r="C49" s="31">
        <f t="shared" si="0"/>
        <v>45657</v>
      </c>
      <c r="D49" s="15"/>
      <c r="E49" s="15" t="str">
        <f t="shared" si="1"/>
        <v>Тооцооны ханшийн тэгшитгэл</v>
      </c>
      <c r="F49" s="18">
        <v>0</v>
      </c>
      <c r="G49" s="18"/>
      <c r="H49" s="18"/>
      <c r="I49" s="18"/>
      <c r="J49" s="19">
        <v>0</v>
      </c>
      <c r="K49" s="18">
        <v>12306.75</v>
      </c>
      <c r="L49" s="18"/>
      <c r="M49" s="18"/>
    </row>
    <row r="50" spans="1:13" ht="15" hidden="1" customHeight="1" x14ac:dyDescent="0.25">
      <c r="A50" s="13" t="s">
        <v>34</v>
      </c>
      <c r="B50" s="14">
        <v>45671</v>
      </c>
      <c r="C50" s="31">
        <f t="shared" si="0"/>
        <v>0</v>
      </c>
      <c r="D50" s="15" t="s">
        <v>35</v>
      </c>
      <c r="E50" s="15">
        <f t="shared" si="1"/>
        <v>0</v>
      </c>
      <c r="F50" s="16">
        <v>0</v>
      </c>
      <c r="G50" s="16"/>
      <c r="H50" s="16"/>
      <c r="I50" s="16"/>
      <c r="J50" s="17">
        <v>15749685</v>
      </c>
      <c r="K50" s="16">
        <v>30357504.350000001</v>
      </c>
      <c r="L50" s="16"/>
      <c r="M50" s="16"/>
    </row>
    <row r="51" spans="1:13" ht="14.25" customHeight="1" x14ac:dyDescent="0.25">
      <c r="A51" s="15" t="s">
        <v>11</v>
      </c>
      <c r="B51" s="15"/>
      <c r="C51" s="31">
        <f t="shared" si="0"/>
        <v>45671</v>
      </c>
      <c r="D51" s="15"/>
      <c r="E51" s="15" t="str">
        <f t="shared" si="1"/>
        <v>Татан авалт</v>
      </c>
      <c r="F51" s="18">
        <v>0</v>
      </c>
      <c r="G51" s="18"/>
      <c r="H51" s="18"/>
      <c r="I51" s="18"/>
      <c r="J51" s="19">
        <v>4500</v>
      </c>
      <c r="K51" s="18">
        <v>7806.75</v>
      </c>
      <c r="L51" s="18"/>
      <c r="M51" s="18"/>
    </row>
    <row r="52" spans="1:13" ht="14.25" hidden="1" customHeight="1" x14ac:dyDescent="0.25">
      <c r="A52" s="13" t="s">
        <v>36</v>
      </c>
      <c r="B52" s="14">
        <v>45808</v>
      </c>
      <c r="C52" s="31">
        <f t="shared" si="0"/>
        <v>0</v>
      </c>
      <c r="D52" s="15" t="s">
        <v>33</v>
      </c>
      <c r="E52" s="15">
        <f t="shared" si="1"/>
        <v>0</v>
      </c>
      <c r="F52" s="16">
        <v>5970742.8300000001</v>
      </c>
      <c r="G52" s="16"/>
      <c r="H52" s="16"/>
      <c r="I52" s="16"/>
      <c r="J52" s="17">
        <v>0</v>
      </c>
      <c r="K52" s="16">
        <v>36328247.18</v>
      </c>
      <c r="L52" s="16"/>
      <c r="M52" s="16"/>
    </row>
    <row r="53" spans="1:13" ht="14.25" customHeight="1" x14ac:dyDescent="0.25">
      <c r="A53" s="15" t="s">
        <v>11</v>
      </c>
      <c r="B53" s="15"/>
      <c r="C53" s="31">
        <f t="shared" si="0"/>
        <v>45808</v>
      </c>
      <c r="D53" s="15"/>
      <c r="E53" s="15" t="str">
        <f t="shared" si="1"/>
        <v>Тооцооны ханшийн тэгшитгэл</v>
      </c>
      <c r="F53" s="18">
        <v>0</v>
      </c>
      <c r="G53" s="18"/>
      <c r="H53" s="18"/>
      <c r="I53" s="18"/>
      <c r="J53" s="19">
        <v>0</v>
      </c>
      <c r="K53" s="18">
        <v>7806.75</v>
      </c>
      <c r="L53" s="18"/>
      <c r="M53" s="18"/>
    </row>
    <row r="54" spans="1:13" ht="14.25" customHeight="1" x14ac:dyDescent="0.25">
      <c r="A54" s="6" t="s">
        <v>37</v>
      </c>
      <c r="B54" s="6"/>
      <c r="C54" s="31">
        <f t="shared" si="0"/>
        <v>0</v>
      </c>
      <c r="D54" s="6"/>
      <c r="E54" s="15">
        <f t="shared" si="1"/>
        <v>0</v>
      </c>
      <c r="F54" s="11">
        <v>279771765.58999997</v>
      </c>
      <c r="G54" s="11"/>
      <c r="H54" s="11"/>
      <c r="I54" s="11"/>
      <c r="J54" s="21">
        <v>243443518.41</v>
      </c>
      <c r="K54" s="11">
        <v>36328247.18</v>
      </c>
      <c r="L54" s="11"/>
      <c r="M54" s="11"/>
    </row>
    <row r="55" spans="1:13" ht="15" customHeight="1" x14ac:dyDescent="0.25">
      <c r="A55" s="12" t="s">
        <v>11</v>
      </c>
      <c r="B55" s="12"/>
      <c r="C55" s="31">
        <f t="shared" si="0"/>
        <v>0</v>
      </c>
      <c r="D55" s="12"/>
      <c r="E55" s="15">
        <f t="shared" si="1"/>
        <v>0</v>
      </c>
      <c r="F55" s="11">
        <v>73916.34</v>
      </c>
      <c r="G55" s="11"/>
      <c r="H55" s="11"/>
      <c r="I55" s="11"/>
      <c r="J55" s="21">
        <v>66109.59</v>
      </c>
      <c r="K55" s="11">
        <v>7806.75</v>
      </c>
      <c r="L55" s="11"/>
      <c r="M55" s="11"/>
    </row>
    <row r="56" spans="1:13" ht="14.25" customHeight="1" x14ac:dyDescent="0.25">
      <c r="A56" s="7" t="s">
        <v>38</v>
      </c>
      <c r="B56" s="7"/>
      <c r="C56" s="31">
        <f t="shared" si="0"/>
        <v>0</v>
      </c>
      <c r="D56" s="7"/>
      <c r="E56" s="15">
        <f t="shared" si="1"/>
        <v>0</v>
      </c>
      <c r="F56" s="7"/>
      <c r="G56" s="7"/>
      <c r="H56" s="8">
        <v>2.3111515100217011E+18</v>
      </c>
      <c r="I56" s="9" t="s">
        <v>11</v>
      </c>
      <c r="J56" s="10" t="s">
        <v>12</v>
      </c>
      <c r="K56" s="11">
        <v>0</v>
      </c>
      <c r="L56" s="11"/>
      <c r="M56" s="11"/>
    </row>
    <row r="57" spans="1:13" ht="14.25" customHeight="1" x14ac:dyDescent="0.25">
      <c r="A57" s="12" t="s">
        <v>11</v>
      </c>
      <c r="B57" s="12"/>
      <c r="C57" s="31">
        <f t="shared" si="0"/>
        <v>0</v>
      </c>
      <c r="D57" s="12"/>
      <c r="E57" s="15">
        <f t="shared" si="1"/>
        <v>0</v>
      </c>
      <c r="F57" s="12"/>
      <c r="G57" s="12"/>
      <c r="H57" s="12"/>
      <c r="I57" s="12"/>
      <c r="J57" s="12"/>
      <c r="K57" s="11">
        <v>0</v>
      </c>
      <c r="L57" s="11"/>
      <c r="M57" s="11"/>
    </row>
    <row r="58" spans="1:13" ht="14.25" hidden="1" customHeight="1" x14ac:dyDescent="0.25">
      <c r="A58" s="13" t="s">
        <v>34</v>
      </c>
      <c r="B58" s="14">
        <v>44936</v>
      </c>
      <c r="C58" s="31">
        <f t="shared" si="0"/>
        <v>0</v>
      </c>
      <c r="D58" s="15" t="s">
        <v>35</v>
      </c>
      <c r="E58" s="15">
        <f t="shared" si="1"/>
        <v>0</v>
      </c>
      <c r="F58" s="16">
        <v>0</v>
      </c>
      <c r="G58" s="16"/>
      <c r="H58" s="16"/>
      <c r="I58" s="16"/>
      <c r="J58" s="17">
        <v>25854391.91</v>
      </c>
      <c r="K58" s="16">
        <v>25854391.91</v>
      </c>
      <c r="L58" s="16"/>
      <c r="M58" s="16"/>
    </row>
    <row r="59" spans="1:13" ht="14.25" customHeight="1" x14ac:dyDescent="0.25">
      <c r="A59" s="15" t="s">
        <v>11</v>
      </c>
      <c r="B59" s="15"/>
      <c r="C59" s="31">
        <f t="shared" si="0"/>
        <v>44936</v>
      </c>
      <c r="D59" s="15"/>
      <c r="E59" s="15" t="str">
        <f t="shared" si="1"/>
        <v>Татан авалт</v>
      </c>
      <c r="F59" s="18">
        <v>0</v>
      </c>
      <c r="G59" s="18"/>
      <c r="H59" s="18"/>
      <c r="I59" s="18"/>
      <c r="J59" s="19">
        <v>7013.7</v>
      </c>
      <c r="K59" s="18">
        <v>7013.7</v>
      </c>
      <c r="L59" s="18"/>
      <c r="M59" s="18"/>
    </row>
    <row r="60" spans="1:13" ht="30" hidden="1" customHeight="1" x14ac:dyDescent="0.25">
      <c r="A60" s="13" t="s">
        <v>39</v>
      </c>
      <c r="B60" s="14">
        <v>44951</v>
      </c>
      <c r="C60" s="31">
        <f t="shared" si="0"/>
        <v>0</v>
      </c>
      <c r="D60" s="15" t="s">
        <v>40</v>
      </c>
      <c r="E60" s="15">
        <f t="shared" si="1"/>
        <v>0</v>
      </c>
      <c r="F60" s="16">
        <v>25854391.91</v>
      </c>
      <c r="G60" s="16"/>
      <c r="H60" s="16"/>
      <c r="I60" s="16"/>
      <c r="J60" s="17">
        <v>0</v>
      </c>
      <c r="K60" s="16">
        <v>0</v>
      </c>
      <c r="L60" s="16"/>
      <c r="M60" s="16"/>
    </row>
    <row r="61" spans="1:13" ht="14.25" customHeight="1" x14ac:dyDescent="0.25">
      <c r="A61" s="15" t="s">
        <v>11</v>
      </c>
      <c r="B61" s="15"/>
      <c r="C61" s="31">
        <f t="shared" si="0"/>
        <v>44951</v>
      </c>
      <c r="D61" s="15"/>
      <c r="E61" s="15" t="str">
        <f t="shared" si="1"/>
        <v>СФ.шилжүүлэв бэлэн бусаар. /RFB/INVOICE NO 21915476 CUSTOMER: 461312POW - DE93 7035 1030 0000 926956</v>
      </c>
      <c r="F61" s="18">
        <v>7013.7</v>
      </c>
      <c r="G61" s="18"/>
      <c r="H61" s="18"/>
      <c r="I61" s="18"/>
      <c r="J61" s="19">
        <v>0</v>
      </c>
      <c r="K61" s="18">
        <v>0</v>
      </c>
      <c r="L61" s="18"/>
      <c r="M61" s="18"/>
    </row>
    <row r="62" spans="1:13" ht="14.25" hidden="1" customHeight="1" x14ac:dyDescent="0.25">
      <c r="A62" s="13" t="s">
        <v>41</v>
      </c>
      <c r="B62" s="14">
        <v>45009</v>
      </c>
      <c r="C62" s="31">
        <f t="shared" si="0"/>
        <v>0</v>
      </c>
      <c r="D62" s="15" t="s">
        <v>35</v>
      </c>
      <c r="E62" s="15">
        <f t="shared" si="1"/>
        <v>0</v>
      </c>
      <c r="F62" s="16">
        <v>0</v>
      </c>
      <c r="G62" s="16"/>
      <c r="H62" s="16"/>
      <c r="I62" s="16"/>
      <c r="J62" s="17">
        <v>32233439.57</v>
      </c>
      <c r="K62" s="16">
        <v>32233439.57</v>
      </c>
      <c r="L62" s="16"/>
      <c r="M62" s="16"/>
    </row>
    <row r="63" spans="1:13" ht="14.25" customHeight="1" x14ac:dyDescent="0.25">
      <c r="A63" s="15" t="s">
        <v>11</v>
      </c>
      <c r="B63" s="15"/>
      <c r="C63" s="31">
        <f t="shared" si="0"/>
        <v>45009</v>
      </c>
      <c r="D63" s="15"/>
      <c r="E63" s="15" t="str">
        <f t="shared" si="1"/>
        <v>Татан авалт</v>
      </c>
      <c r="F63" s="18">
        <v>0</v>
      </c>
      <c r="G63" s="18"/>
      <c r="H63" s="18"/>
      <c r="I63" s="18"/>
      <c r="J63" s="19">
        <v>8381.4</v>
      </c>
      <c r="K63" s="18">
        <v>8381.4</v>
      </c>
      <c r="L63" s="18"/>
      <c r="M63" s="18"/>
    </row>
    <row r="64" spans="1:13" ht="14.25" hidden="1" customHeight="1" x14ac:dyDescent="0.25">
      <c r="A64" s="13" t="s">
        <v>42</v>
      </c>
      <c r="B64" s="14">
        <v>45022</v>
      </c>
      <c r="C64" s="31">
        <f t="shared" si="0"/>
        <v>0</v>
      </c>
      <c r="D64" s="15" t="s">
        <v>35</v>
      </c>
      <c r="E64" s="15">
        <f t="shared" si="1"/>
        <v>0</v>
      </c>
      <c r="F64" s="16">
        <v>0</v>
      </c>
      <c r="G64" s="16"/>
      <c r="H64" s="16"/>
      <c r="I64" s="16"/>
      <c r="J64" s="17">
        <v>86245622.129999995</v>
      </c>
      <c r="K64" s="16">
        <v>118479061.7</v>
      </c>
      <c r="L64" s="16"/>
      <c r="M64" s="16"/>
    </row>
    <row r="65" spans="1:13" ht="15" customHeight="1" x14ac:dyDescent="0.25">
      <c r="A65" s="15" t="s">
        <v>11</v>
      </c>
      <c r="B65" s="15"/>
      <c r="C65" s="31">
        <f t="shared" si="0"/>
        <v>45022</v>
      </c>
      <c r="D65" s="15"/>
      <c r="E65" s="15" t="str">
        <f t="shared" si="1"/>
        <v>Татан авалт</v>
      </c>
      <c r="F65" s="18">
        <v>0</v>
      </c>
      <c r="G65" s="18"/>
      <c r="H65" s="18"/>
      <c r="I65" s="18"/>
      <c r="J65" s="19">
        <v>22425.75</v>
      </c>
      <c r="K65" s="18">
        <v>30807.15</v>
      </c>
      <c r="L65" s="18"/>
      <c r="M65" s="18"/>
    </row>
    <row r="66" spans="1:13" ht="14.25" hidden="1" customHeight="1" x14ac:dyDescent="0.25">
      <c r="A66" s="13" t="s">
        <v>43</v>
      </c>
      <c r="B66" s="14">
        <v>45065</v>
      </c>
      <c r="C66" s="31">
        <f t="shared" si="0"/>
        <v>0</v>
      </c>
      <c r="D66" s="15" t="s">
        <v>35</v>
      </c>
      <c r="E66" s="15">
        <f t="shared" si="1"/>
        <v>0</v>
      </c>
      <c r="F66" s="16">
        <v>0</v>
      </c>
      <c r="G66" s="16"/>
      <c r="H66" s="16"/>
      <c r="I66" s="16"/>
      <c r="J66" s="17">
        <v>3443794.2</v>
      </c>
      <c r="K66" s="16">
        <v>121922855.90000001</v>
      </c>
      <c r="L66" s="16"/>
      <c r="M66" s="16"/>
    </row>
    <row r="67" spans="1:13" ht="14.25" customHeight="1" x14ac:dyDescent="0.25">
      <c r="A67" s="15" t="s">
        <v>11</v>
      </c>
      <c r="B67" s="15"/>
      <c r="C67" s="31">
        <f t="shared" si="0"/>
        <v>45065</v>
      </c>
      <c r="D67" s="15"/>
      <c r="E67" s="15" t="str">
        <f t="shared" si="1"/>
        <v>Татан авалт</v>
      </c>
      <c r="F67" s="18">
        <v>0</v>
      </c>
      <c r="G67" s="18"/>
      <c r="H67" s="18"/>
      <c r="I67" s="18"/>
      <c r="J67" s="19">
        <v>924</v>
      </c>
      <c r="K67" s="18">
        <v>31731.15</v>
      </c>
      <c r="L67" s="18"/>
      <c r="M67" s="18"/>
    </row>
    <row r="68" spans="1:13" ht="14.25" hidden="1" customHeight="1" x14ac:dyDescent="0.25">
      <c r="A68" s="13" t="s">
        <v>43</v>
      </c>
      <c r="B68" s="14">
        <v>45065</v>
      </c>
      <c r="C68" s="31">
        <f t="shared" si="0"/>
        <v>0</v>
      </c>
      <c r="D68" s="15" t="s">
        <v>44</v>
      </c>
      <c r="E68" s="15">
        <f t="shared" si="1"/>
        <v>0</v>
      </c>
      <c r="F68" s="16">
        <v>0</v>
      </c>
      <c r="G68" s="16"/>
      <c r="H68" s="16"/>
      <c r="I68" s="16"/>
      <c r="J68" s="17">
        <v>397825.32</v>
      </c>
      <c r="K68" s="16">
        <v>122320681.22</v>
      </c>
      <c r="L68" s="16"/>
      <c r="M68" s="16"/>
    </row>
    <row r="69" spans="1:13" ht="14.25" customHeight="1" x14ac:dyDescent="0.25">
      <c r="A69" s="15" t="s">
        <v>11</v>
      </c>
      <c r="B69" s="15"/>
      <c r="C69" s="31">
        <f t="shared" si="0"/>
        <v>45065</v>
      </c>
      <c r="D69" s="15"/>
      <c r="E69" s="15" t="str">
        <f t="shared" si="1"/>
        <v>allstars 5-24</v>
      </c>
      <c r="F69" s="18">
        <v>0</v>
      </c>
      <c r="G69" s="18"/>
      <c r="H69" s="18"/>
      <c r="I69" s="18"/>
      <c r="J69" s="19">
        <v>106.74</v>
      </c>
      <c r="K69" s="18">
        <v>31837.89</v>
      </c>
      <c r="L69" s="18"/>
      <c r="M69" s="18"/>
    </row>
    <row r="70" spans="1:13" ht="30" hidden="1" customHeight="1" x14ac:dyDescent="0.25">
      <c r="A70" s="13" t="s">
        <v>45</v>
      </c>
      <c r="B70" s="14">
        <v>45080</v>
      </c>
      <c r="C70" s="31">
        <f t="shared" si="0"/>
        <v>0</v>
      </c>
      <c r="D70" s="15" t="s">
        <v>46</v>
      </c>
      <c r="E70" s="15">
        <f t="shared" si="1"/>
        <v>0</v>
      </c>
      <c r="F70" s="16">
        <v>47787322.119999997</v>
      </c>
      <c r="G70" s="16"/>
      <c r="H70" s="16"/>
      <c r="I70" s="16"/>
      <c r="J70" s="17">
        <v>0</v>
      </c>
      <c r="K70" s="16">
        <v>74533359.099999994</v>
      </c>
      <c r="L70" s="16"/>
      <c r="M70" s="16"/>
    </row>
    <row r="71" spans="1:13" ht="14.25" customHeight="1" x14ac:dyDescent="0.25">
      <c r="A71" s="15" t="s">
        <v>11</v>
      </c>
      <c r="B71" s="15"/>
      <c r="C71" s="31">
        <f t="shared" si="0"/>
        <v>45080</v>
      </c>
      <c r="D71" s="15"/>
      <c r="E71" s="15" t="str">
        <f t="shared" si="1"/>
        <v>СФ.шилжүүлэв бэлэн бусаар. /RFB/INVOICE NO: 21939264CUSTOMER: 461312POW - DE93 7035 1030 0000 926956</v>
      </c>
      <c r="F71" s="18">
        <v>12425.75</v>
      </c>
      <c r="G71" s="18"/>
      <c r="H71" s="18"/>
      <c r="I71" s="18"/>
      <c r="J71" s="19">
        <v>0</v>
      </c>
      <c r="K71" s="18">
        <v>19412.14</v>
      </c>
      <c r="L71" s="18"/>
      <c r="M71" s="18"/>
    </row>
    <row r="72" spans="1:13" ht="14.25" hidden="1" customHeight="1" x14ac:dyDescent="0.25">
      <c r="A72" s="13" t="s">
        <v>47</v>
      </c>
      <c r="B72" s="14">
        <v>45089</v>
      </c>
      <c r="C72" s="31">
        <f t="shared" si="0"/>
        <v>0</v>
      </c>
      <c r="D72" s="15" t="s">
        <v>35</v>
      </c>
      <c r="E72" s="15">
        <f t="shared" si="1"/>
        <v>0</v>
      </c>
      <c r="F72" s="16">
        <v>0</v>
      </c>
      <c r="G72" s="16"/>
      <c r="H72" s="16"/>
      <c r="I72" s="16"/>
      <c r="J72" s="17">
        <v>4512392.1399999997</v>
      </c>
      <c r="K72" s="16">
        <v>79045751.239999995</v>
      </c>
      <c r="L72" s="16"/>
      <c r="M72" s="16"/>
    </row>
    <row r="73" spans="1:13" ht="14.25" customHeight="1" x14ac:dyDescent="0.25">
      <c r="A73" s="15" t="s">
        <v>11</v>
      </c>
      <c r="B73" s="15"/>
      <c r="C73" s="31">
        <f t="shared" si="0"/>
        <v>45089</v>
      </c>
      <c r="D73" s="15"/>
      <c r="E73" s="15" t="str">
        <f t="shared" si="1"/>
        <v>Татан авалт</v>
      </c>
      <c r="F73" s="18">
        <v>0</v>
      </c>
      <c r="G73" s="18"/>
      <c r="H73" s="18"/>
      <c r="I73" s="18"/>
      <c r="J73" s="19">
        <v>1205.8900000000001</v>
      </c>
      <c r="K73" s="18">
        <v>20618.03</v>
      </c>
      <c r="L73" s="18"/>
      <c r="M73" s="18"/>
    </row>
    <row r="74" spans="1:13" ht="15" hidden="1" customHeight="1" x14ac:dyDescent="0.25">
      <c r="A74" s="13" t="s">
        <v>48</v>
      </c>
      <c r="B74" s="14">
        <v>45128</v>
      </c>
      <c r="C74" s="31">
        <f t="shared" ref="C74:C137" si="2">+B73</f>
        <v>0</v>
      </c>
      <c r="D74" s="15" t="s">
        <v>35</v>
      </c>
      <c r="E74" s="15">
        <f t="shared" ref="E74:E137" si="3">+D73</f>
        <v>0</v>
      </c>
      <c r="F74" s="16">
        <v>0</v>
      </c>
      <c r="G74" s="16"/>
      <c r="H74" s="16"/>
      <c r="I74" s="16"/>
      <c r="J74" s="17">
        <v>50491640.759999998</v>
      </c>
      <c r="K74" s="16">
        <v>129537392</v>
      </c>
      <c r="L74" s="16"/>
      <c r="M74" s="16"/>
    </row>
    <row r="75" spans="1:13" ht="14.25" customHeight="1" x14ac:dyDescent="0.25">
      <c r="A75" s="15" t="s">
        <v>11</v>
      </c>
      <c r="B75" s="15"/>
      <c r="C75" s="31">
        <f t="shared" si="2"/>
        <v>45128</v>
      </c>
      <c r="D75" s="15"/>
      <c r="E75" s="15" t="str">
        <f t="shared" si="3"/>
        <v>Татан авалт</v>
      </c>
      <c r="F75" s="18">
        <v>0</v>
      </c>
      <c r="G75" s="18"/>
      <c r="H75" s="18"/>
      <c r="I75" s="18"/>
      <c r="J75" s="19">
        <v>13506</v>
      </c>
      <c r="K75" s="18">
        <v>34124.03</v>
      </c>
      <c r="L75" s="18"/>
      <c r="M75" s="18"/>
    </row>
    <row r="76" spans="1:13" ht="29.25" hidden="1" customHeight="1" x14ac:dyDescent="0.25">
      <c r="A76" s="13" t="s">
        <v>49</v>
      </c>
      <c r="B76" s="14">
        <v>45135</v>
      </c>
      <c r="C76" s="31">
        <f t="shared" si="2"/>
        <v>0</v>
      </c>
      <c r="D76" s="15" t="s">
        <v>50</v>
      </c>
      <c r="E76" s="15">
        <f t="shared" si="3"/>
        <v>0</v>
      </c>
      <c r="F76" s="16">
        <v>46995355.420000002</v>
      </c>
      <c r="G76" s="16"/>
      <c r="H76" s="16"/>
      <c r="I76" s="16"/>
      <c r="J76" s="17">
        <v>0</v>
      </c>
      <c r="K76" s="16">
        <v>82542036.579999998</v>
      </c>
      <c r="L76" s="16"/>
      <c r="M76" s="16"/>
    </row>
    <row r="77" spans="1:13" ht="14.25" customHeight="1" x14ac:dyDescent="0.25">
      <c r="A77" s="15" t="s">
        <v>11</v>
      </c>
      <c r="B77" s="15"/>
      <c r="C77" s="31">
        <f t="shared" si="2"/>
        <v>45135</v>
      </c>
      <c r="D77" s="15"/>
      <c r="E77" s="15" t="str">
        <f t="shared" si="3"/>
        <v>СФ.шилжүүлэв бэлэн бусаар. /RFB/PAYMENT OF SUPPLEMENT,INVOICE NO 21939264 - DE93 7035 1030 0000 926956</v>
      </c>
      <c r="F77" s="18">
        <v>12236.43</v>
      </c>
      <c r="G77" s="18"/>
      <c r="H77" s="18"/>
      <c r="I77" s="18"/>
      <c r="J77" s="19">
        <v>0</v>
      </c>
      <c r="K77" s="18">
        <v>21887.599999999999</v>
      </c>
      <c r="L77" s="18"/>
      <c r="M77" s="18"/>
    </row>
    <row r="78" spans="1:13" ht="14.25" hidden="1" customHeight="1" x14ac:dyDescent="0.25">
      <c r="A78" s="13" t="s">
        <v>51</v>
      </c>
      <c r="B78" s="14">
        <v>45257</v>
      </c>
      <c r="C78" s="31">
        <f t="shared" si="2"/>
        <v>0</v>
      </c>
      <c r="D78" s="15" t="s">
        <v>35</v>
      </c>
      <c r="E78" s="15">
        <f t="shared" si="3"/>
        <v>0</v>
      </c>
      <c r="F78" s="16">
        <v>0</v>
      </c>
      <c r="G78" s="16"/>
      <c r="H78" s="16"/>
      <c r="I78" s="16"/>
      <c r="J78" s="17">
        <v>4382475.79</v>
      </c>
      <c r="K78" s="16">
        <v>86924512.370000005</v>
      </c>
      <c r="L78" s="16"/>
      <c r="M78" s="16"/>
    </row>
    <row r="79" spans="1:13" ht="15" customHeight="1" x14ac:dyDescent="0.25">
      <c r="A79" s="15" t="s">
        <v>11</v>
      </c>
      <c r="B79" s="15"/>
      <c r="C79" s="31">
        <f t="shared" si="2"/>
        <v>45257</v>
      </c>
      <c r="D79" s="15"/>
      <c r="E79" s="15" t="str">
        <f t="shared" si="3"/>
        <v>Татан авалт</v>
      </c>
      <c r="F79" s="18">
        <v>0</v>
      </c>
      <c r="G79" s="18"/>
      <c r="H79" s="18"/>
      <c r="I79" s="18"/>
      <c r="J79" s="19">
        <v>1169</v>
      </c>
      <c r="K79" s="18">
        <v>23056.6</v>
      </c>
      <c r="L79" s="18"/>
      <c r="M79" s="18"/>
    </row>
    <row r="80" spans="1:13" ht="29.25" hidden="1" customHeight="1" x14ac:dyDescent="0.25">
      <c r="A80" s="13" t="s">
        <v>52</v>
      </c>
      <c r="B80" s="14">
        <v>45265</v>
      </c>
      <c r="C80" s="31">
        <f t="shared" si="2"/>
        <v>0</v>
      </c>
      <c r="D80" s="15" t="s">
        <v>53</v>
      </c>
      <c r="E80" s="15">
        <f t="shared" si="3"/>
        <v>0</v>
      </c>
      <c r="F80" s="16">
        <v>50491640.759999998</v>
      </c>
      <c r="G80" s="16"/>
      <c r="H80" s="16"/>
      <c r="I80" s="16"/>
      <c r="J80" s="17">
        <v>0</v>
      </c>
      <c r="K80" s="16">
        <v>36432871.609999999</v>
      </c>
      <c r="L80" s="16"/>
      <c r="M80" s="16"/>
    </row>
    <row r="81" spans="1:13" ht="14.25" customHeight="1" x14ac:dyDescent="0.25">
      <c r="A81" s="15" t="s">
        <v>11</v>
      </c>
      <c r="B81" s="15"/>
      <c r="C81" s="31">
        <f t="shared" si="2"/>
        <v>45265</v>
      </c>
      <c r="D81" s="15"/>
      <c r="E81" s="15" t="str">
        <f t="shared" si="3"/>
        <v>СФ.шилжүүлэв бэлэн бусаар. /RFB/PAYMENT OF SUPPLEMENT,ALL STARSPOWER NU - DE93 7035 1030 0000 926956</v>
      </c>
      <c r="F81" s="18">
        <v>13506</v>
      </c>
      <c r="G81" s="18"/>
      <c r="H81" s="18"/>
      <c r="I81" s="18"/>
      <c r="J81" s="19">
        <v>0</v>
      </c>
      <c r="K81" s="18">
        <v>9550.6</v>
      </c>
      <c r="L81" s="18"/>
      <c r="M81" s="18"/>
    </row>
    <row r="82" spans="1:13" ht="14.25" hidden="1" customHeight="1" x14ac:dyDescent="0.25">
      <c r="A82" s="13" t="s">
        <v>22</v>
      </c>
      <c r="B82" s="14">
        <v>45291</v>
      </c>
      <c r="C82" s="31">
        <f t="shared" si="2"/>
        <v>0</v>
      </c>
      <c r="D82" s="15" t="s">
        <v>23</v>
      </c>
      <c r="E82" s="15">
        <f t="shared" si="3"/>
        <v>0</v>
      </c>
      <c r="F82" s="16">
        <v>32233439.57</v>
      </c>
      <c r="G82" s="16"/>
      <c r="H82" s="16"/>
      <c r="I82" s="16"/>
      <c r="J82" s="17">
        <v>0</v>
      </c>
      <c r="K82" s="16">
        <v>4199432.04</v>
      </c>
      <c r="L82" s="16"/>
      <c r="M82" s="16"/>
    </row>
    <row r="83" spans="1:13" ht="14.25" customHeight="1" x14ac:dyDescent="0.25">
      <c r="A83" s="15" t="s">
        <v>11</v>
      </c>
      <c r="B83" s="15"/>
      <c r="C83" s="31">
        <f t="shared" si="2"/>
        <v>45291</v>
      </c>
      <c r="D83" s="15"/>
      <c r="E83" s="15" t="str">
        <f t="shared" si="3"/>
        <v>Авлага өглөг хаав</v>
      </c>
      <c r="F83" s="18">
        <v>8381.4</v>
      </c>
      <c r="G83" s="18"/>
      <c r="H83" s="18"/>
      <c r="I83" s="18"/>
      <c r="J83" s="19">
        <v>0</v>
      </c>
      <c r="K83" s="18">
        <v>1169.2</v>
      </c>
      <c r="L83" s="18"/>
      <c r="M83" s="18"/>
    </row>
    <row r="84" spans="1:13" ht="15" hidden="1" customHeight="1" x14ac:dyDescent="0.25">
      <c r="A84" s="13" t="s">
        <v>22</v>
      </c>
      <c r="B84" s="14">
        <v>45291</v>
      </c>
      <c r="C84" s="31">
        <f t="shared" si="2"/>
        <v>0</v>
      </c>
      <c r="D84" s="15" t="s">
        <v>23</v>
      </c>
      <c r="E84" s="15">
        <f t="shared" si="3"/>
        <v>0</v>
      </c>
      <c r="F84" s="16">
        <v>745.41</v>
      </c>
      <c r="G84" s="16"/>
      <c r="H84" s="16"/>
      <c r="I84" s="16"/>
      <c r="J84" s="17">
        <v>0</v>
      </c>
      <c r="K84" s="16">
        <v>4198686.63</v>
      </c>
      <c r="L84" s="16"/>
      <c r="M84" s="16"/>
    </row>
    <row r="85" spans="1:13" ht="14.25" customHeight="1" x14ac:dyDescent="0.25">
      <c r="A85" s="15" t="s">
        <v>11</v>
      </c>
      <c r="B85" s="15"/>
      <c r="C85" s="31">
        <f t="shared" si="2"/>
        <v>45291</v>
      </c>
      <c r="D85" s="15"/>
      <c r="E85" s="15" t="str">
        <f t="shared" si="3"/>
        <v>Авлага өглөг хаав</v>
      </c>
      <c r="F85" s="18">
        <v>0.2</v>
      </c>
      <c r="G85" s="18"/>
      <c r="H85" s="18"/>
      <c r="I85" s="18"/>
      <c r="J85" s="19">
        <v>0</v>
      </c>
      <c r="K85" s="18">
        <v>1169</v>
      </c>
      <c r="L85" s="18"/>
      <c r="M85" s="18"/>
    </row>
    <row r="86" spans="1:13" ht="14.25" hidden="1" customHeight="1" x14ac:dyDescent="0.25">
      <c r="A86" s="13" t="s">
        <v>22</v>
      </c>
      <c r="B86" s="14">
        <v>45291</v>
      </c>
      <c r="C86" s="31">
        <f t="shared" si="2"/>
        <v>0</v>
      </c>
      <c r="D86" s="15" t="s">
        <v>23</v>
      </c>
      <c r="E86" s="15">
        <f t="shared" si="3"/>
        <v>0</v>
      </c>
      <c r="F86" s="16">
        <v>4382475.79</v>
      </c>
      <c r="G86" s="16"/>
      <c r="H86" s="16"/>
      <c r="I86" s="16"/>
      <c r="J86" s="17">
        <v>0</v>
      </c>
      <c r="K86" s="16">
        <v>-183789.16</v>
      </c>
      <c r="L86" s="16"/>
      <c r="M86" s="16"/>
    </row>
    <row r="87" spans="1:13" ht="14.25" customHeight="1" x14ac:dyDescent="0.25">
      <c r="A87" s="15" t="s">
        <v>11</v>
      </c>
      <c r="B87" s="15"/>
      <c r="C87" s="31">
        <f t="shared" si="2"/>
        <v>45291</v>
      </c>
      <c r="D87" s="15"/>
      <c r="E87" s="15" t="str">
        <f t="shared" si="3"/>
        <v>Авлага өглөг хаав</v>
      </c>
      <c r="F87" s="18">
        <v>1169</v>
      </c>
      <c r="G87" s="18"/>
      <c r="H87" s="18"/>
      <c r="I87" s="18"/>
      <c r="J87" s="19">
        <v>0</v>
      </c>
      <c r="K87" s="18">
        <v>0</v>
      </c>
      <c r="L87" s="18"/>
      <c r="M87" s="18"/>
    </row>
    <row r="88" spans="1:13" ht="14.25" hidden="1" customHeight="1" x14ac:dyDescent="0.25">
      <c r="A88" s="13" t="s">
        <v>34</v>
      </c>
      <c r="B88" s="14">
        <v>45306</v>
      </c>
      <c r="C88" s="31">
        <f t="shared" si="2"/>
        <v>0</v>
      </c>
      <c r="D88" s="15" t="s">
        <v>35</v>
      </c>
      <c r="E88" s="15">
        <f t="shared" si="3"/>
        <v>0</v>
      </c>
      <c r="F88" s="16">
        <v>0</v>
      </c>
      <c r="G88" s="16"/>
      <c r="H88" s="16"/>
      <c r="I88" s="16"/>
      <c r="J88" s="17">
        <v>8030963.8799999999</v>
      </c>
      <c r="K88" s="16">
        <v>7847174.7199999997</v>
      </c>
      <c r="L88" s="16"/>
      <c r="M88" s="16"/>
    </row>
    <row r="89" spans="1:13" ht="15" customHeight="1" x14ac:dyDescent="0.25">
      <c r="A89" s="15" t="s">
        <v>11</v>
      </c>
      <c r="B89" s="15"/>
      <c r="C89" s="31">
        <f t="shared" si="2"/>
        <v>45306</v>
      </c>
      <c r="D89" s="15"/>
      <c r="E89" s="15" t="str">
        <f t="shared" si="3"/>
        <v>Татан авалт</v>
      </c>
      <c r="F89" s="18">
        <v>0</v>
      </c>
      <c r="G89" s="18"/>
      <c r="H89" s="18"/>
      <c r="I89" s="18"/>
      <c r="J89" s="19">
        <v>2148</v>
      </c>
      <c r="K89" s="18">
        <v>2148</v>
      </c>
      <c r="L89" s="18"/>
      <c r="M89" s="18"/>
    </row>
    <row r="90" spans="1:13" ht="14.25" hidden="1" customHeight="1" x14ac:dyDescent="0.25">
      <c r="A90" s="13" t="s">
        <v>34</v>
      </c>
      <c r="B90" s="14">
        <v>45306</v>
      </c>
      <c r="C90" s="31">
        <f t="shared" si="2"/>
        <v>0</v>
      </c>
      <c r="D90" s="15" t="s">
        <v>54</v>
      </c>
      <c r="E90" s="15">
        <f t="shared" si="3"/>
        <v>0</v>
      </c>
      <c r="F90" s="16">
        <v>0</v>
      </c>
      <c r="G90" s="16"/>
      <c r="H90" s="16"/>
      <c r="I90" s="16"/>
      <c r="J90" s="17">
        <v>1132822.04</v>
      </c>
      <c r="K90" s="16">
        <v>8979996.7599999998</v>
      </c>
      <c r="L90" s="16"/>
      <c r="M90" s="16"/>
    </row>
    <row r="91" spans="1:13" ht="14.25" customHeight="1" x14ac:dyDescent="0.25">
      <c r="A91" s="15" t="s">
        <v>11</v>
      </c>
      <c r="B91" s="15"/>
      <c r="C91" s="31">
        <f t="shared" si="2"/>
        <v>45306</v>
      </c>
      <c r="D91" s="15"/>
      <c r="E91" s="15" t="str">
        <f t="shared" si="3"/>
        <v>allstar 1/15</v>
      </c>
      <c r="F91" s="18">
        <v>0</v>
      </c>
      <c r="G91" s="18"/>
      <c r="H91" s="18"/>
      <c r="I91" s="18"/>
      <c r="J91" s="19">
        <v>302.99</v>
      </c>
      <c r="K91" s="18">
        <v>2450.9899999999998</v>
      </c>
      <c r="L91" s="18"/>
      <c r="M91" s="18"/>
    </row>
    <row r="92" spans="1:13" ht="14.25" hidden="1" customHeight="1" x14ac:dyDescent="0.25">
      <c r="A92" s="13" t="s">
        <v>55</v>
      </c>
      <c r="B92" s="14">
        <v>45419</v>
      </c>
      <c r="C92" s="31">
        <f t="shared" si="2"/>
        <v>0</v>
      </c>
      <c r="D92" s="15" t="s">
        <v>35</v>
      </c>
      <c r="E92" s="15">
        <f t="shared" si="3"/>
        <v>0</v>
      </c>
      <c r="F92" s="16">
        <v>0</v>
      </c>
      <c r="G92" s="16"/>
      <c r="H92" s="16"/>
      <c r="I92" s="16"/>
      <c r="J92" s="17">
        <v>12030401.76</v>
      </c>
      <c r="K92" s="16">
        <v>21010398.52</v>
      </c>
      <c r="L92" s="16"/>
      <c r="M92" s="16"/>
    </row>
    <row r="93" spans="1:13" ht="14.25" customHeight="1" x14ac:dyDescent="0.25">
      <c r="A93" s="15" t="s">
        <v>11</v>
      </c>
      <c r="B93" s="15"/>
      <c r="C93" s="31">
        <f t="shared" si="2"/>
        <v>45419</v>
      </c>
      <c r="D93" s="15"/>
      <c r="E93" s="15" t="str">
        <f t="shared" si="3"/>
        <v>Татан авалт</v>
      </c>
      <c r="F93" s="18">
        <v>0</v>
      </c>
      <c r="G93" s="18"/>
      <c r="H93" s="18"/>
      <c r="I93" s="18"/>
      <c r="J93" s="19">
        <v>3306</v>
      </c>
      <c r="K93" s="18">
        <v>5756.99</v>
      </c>
      <c r="L93" s="18"/>
      <c r="M93" s="18"/>
    </row>
    <row r="94" spans="1:13" ht="15" hidden="1" customHeight="1" x14ac:dyDescent="0.25">
      <c r="A94" s="13" t="s">
        <v>56</v>
      </c>
      <c r="B94" s="14">
        <v>45427</v>
      </c>
      <c r="C94" s="31">
        <f t="shared" si="2"/>
        <v>0</v>
      </c>
      <c r="D94" s="15" t="s">
        <v>35</v>
      </c>
      <c r="E94" s="15">
        <f t="shared" si="3"/>
        <v>0</v>
      </c>
      <c r="F94" s="16">
        <v>0</v>
      </c>
      <c r="G94" s="16"/>
      <c r="H94" s="16"/>
      <c r="I94" s="16"/>
      <c r="J94" s="17">
        <v>40445143.200000003</v>
      </c>
      <c r="K94" s="16">
        <v>61455541.719999999</v>
      </c>
      <c r="L94" s="16"/>
      <c r="M94" s="16"/>
    </row>
    <row r="95" spans="1:13" ht="14.25" customHeight="1" x14ac:dyDescent="0.25">
      <c r="A95" s="15" t="s">
        <v>11</v>
      </c>
      <c r="B95" s="15"/>
      <c r="C95" s="31">
        <f t="shared" si="2"/>
        <v>45427</v>
      </c>
      <c r="D95" s="15"/>
      <c r="E95" s="15" t="str">
        <f t="shared" si="3"/>
        <v>Татан авалт</v>
      </c>
      <c r="F95" s="18">
        <v>0</v>
      </c>
      <c r="G95" s="18"/>
      <c r="H95" s="18"/>
      <c r="I95" s="18"/>
      <c r="J95" s="19">
        <v>11088</v>
      </c>
      <c r="K95" s="18">
        <v>16844.990000000002</v>
      </c>
      <c r="L95" s="18"/>
      <c r="M95" s="18"/>
    </row>
    <row r="96" spans="1:13" ht="14.25" hidden="1" customHeight="1" x14ac:dyDescent="0.25">
      <c r="A96" s="13" t="s">
        <v>57</v>
      </c>
      <c r="B96" s="14">
        <v>45427</v>
      </c>
      <c r="C96" s="31">
        <f t="shared" si="2"/>
        <v>0</v>
      </c>
      <c r="D96" s="15" t="s">
        <v>35</v>
      </c>
      <c r="E96" s="15">
        <f t="shared" si="3"/>
        <v>0</v>
      </c>
      <c r="F96" s="16">
        <v>0</v>
      </c>
      <c r="G96" s="16"/>
      <c r="H96" s="16"/>
      <c r="I96" s="16"/>
      <c r="J96" s="17">
        <v>0</v>
      </c>
      <c r="K96" s="16">
        <v>61455541.719999999</v>
      </c>
      <c r="L96" s="16"/>
      <c r="M96" s="16"/>
    </row>
    <row r="97" spans="1:13" ht="14.25" customHeight="1" x14ac:dyDescent="0.25">
      <c r="A97" s="15" t="s">
        <v>11</v>
      </c>
      <c r="B97" s="15"/>
      <c r="C97" s="31">
        <f t="shared" si="2"/>
        <v>45427</v>
      </c>
      <c r="D97" s="15"/>
      <c r="E97" s="15" t="str">
        <f t="shared" si="3"/>
        <v>Татан авалт</v>
      </c>
      <c r="F97" s="18">
        <v>0</v>
      </c>
      <c r="G97" s="18"/>
      <c r="H97" s="18"/>
      <c r="I97" s="18"/>
      <c r="J97" s="19">
        <v>0</v>
      </c>
      <c r="K97" s="18">
        <v>16844.990000000002</v>
      </c>
      <c r="L97" s="18"/>
      <c r="M97" s="18"/>
    </row>
    <row r="98" spans="1:13" ht="14.25" hidden="1" customHeight="1" x14ac:dyDescent="0.25">
      <c r="A98" s="13" t="s">
        <v>58</v>
      </c>
      <c r="B98" s="14">
        <v>45427</v>
      </c>
      <c r="C98" s="31">
        <f t="shared" si="2"/>
        <v>0</v>
      </c>
      <c r="D98" s="15" t="s">
        <v>59</v>
      </c>
      <c r="E98" s="15">
        <f t="shared" si="3"/>
        <v>0</v>
      </c>
      <c r="F98" s="16">
        <v>0</v>
      </c>
      <c r="G98" s="16"/>
      <c r="H98" s="16"/>
      <c r="I98" s="16"/>
      <c r="J98" s="17">
        <v>22396571</v>
      </c>
      <c r="K98" s="16">
        <v>83852112.719999999</v>
      </c>
      <c r="L98" s="16"/>
      <c r="M98" s="16"/>
    </row>
    <row r="99" spans="1:13" ht="15" customHeight="1" x14ac:dyDescent="0.25">
      <c r="A99" s="15" t="s">
        <v>11</v>
      </c>
      <c r="B99" s="15"/>
      <c r="C99" s="31">
        <f t="shared" si="2"/>
        <v>45427</v>
      </c>
      <c r="D99" s="15"/>
      <c r="E99" s="15" t="str">
        <f t="shared" si="3"/>
        <v>Татан авалт /дутуу/</v>
      </c>
      <c r="F99" s="18">
        <v>0</v>
      </c>
      <c r="G99" s="18"/>
      <c r="H99" s="18"/>
      <c r="I99" s="18"/>
      <c r="J99" s="19">
        <v>6140</v>
      </c>
      <c r="K99" s="18">
        <v>22984.99</v>
      </c>
      <c r="L99" s="18"/>
      <c r="M99" s="18"/>
    </row>
    <row r="100" spans="1:13" ht="14.25" hidden="1" customHeight="1" x14ac:dyDescent="0.25">
      <c r="A100" s="13" t="s">
        <v>60</v>
      </c>
      <c r="B100" s="14">
        <v>45467</v>
      </c>
      <c r="C100" s="31">
        <f t="shared" si="2"/>
        <v>0</v>
      </c>
      <c r="D100" s="15" t="s">
        <v>35</v>
      </c>
      <c r="E100" s="15">
        <f t="shared" si="3"/>
        <v>0</v>
      </c>
      <c r="F100" s="16">
        <v>0</v>
      </c>
      <c r="G100" s="16"/>
      <c r="H100" s="16"/>
      <c r="I100" s="16"/>
      <c r="J100" s="17">
        <v>22149364.640000001</v>
      </c>
      <c r="K100" s="16">
        <v>106001477.36</v>
      </c>
      <c r="L100" s="16"/>
      <c r="M100" s="16"/>
    </row>
    <row r="101" spans="1:13" ht="14.25" customHeight="1" x14ac:dyDescent="0.25">
      <c r="A101" s="15" t="s">
        <v>11</v>
      </c>
      <c r="B101" s="15"/>
      <c r="C101" s="31">
        <f t="shared" si="2"/>
        <v>45467</v>
      </c>
      <c r="D101" s="15"/>
      <c r="E101" s="15" t="str">
        <f t="shared" si="3"/>
        <v>Татан авалт</v>
      </c>
      <c r="F101" s="18">
        <v>0</v>
      </c>
      <c r="G101" s="18"/>
      <c r="H101" s="18"/>
      <c r="I101" s="18"/>
      <c r="J101" s="19">
        <v>6136</v>
      </c>
      <c r="K101" s="18">
        <v>29120.99</v>
      </c>
      <c r="L101" s="18"/>
      <c r="M101" s="18"/>
    </row>
    <row r="102" spans="1:13" ht="14.25" hidden="1" customHeight="1" x14ac:dyDescent="0.25">
      <c r="A102" s="13" t="s">
        <v>61</v>
      </c>
      <c r="B102" s="14">
        <v>45467</v>
      </c>
      <c r="C102" s="31">
        <f t="shared" si="2"/>
        <v>0</v>
      </c>
      <c r="D102" s="15" t="s">
        <v>59</v>
      </c>
      <c r="E102" s="15">
        <f t="shared" si="3"/>
        <v>0</v>
      </c>
      <c r="F102" s="16">
        <v>0</v>
      </c>
      <c r="G102" s="16"/>
      <c r="H102" s="16"/>
      <c r="I102" s="16"/>
      <c r="J102" s="17">
        <v>16243830</v>
      </c>
      <c r="K102" s="16">
        <v>122245307.36</v>
      </c>
      <c r="L102" s="16"/>
      <c r="M102" s="16"/>
    </row>
    <row r="103" spans="1:13" ht="14.25" customHeight="1" x14ac:dyDescent="0.25">
      <c r="A103" s="15" t="s">
        <v>11</v>
      </c>
      <c r="B103" s="15"/>
      <c r="C103" s="31">
        <f t="shared" si="2"/>
        <v>45467</v>
      </c>
      <c r="D103" s="15"/>
      <c r="E103" s="15" t="str">
        <f t="shared" si="3"/>
        <v>Татан авалт /дутуу/</v>
      </c>
      <c r="F103" s="18">
        <v>0</v>
      </c>
      <c r="G103" s="18"/>
      <c r="H103" s="18"/>
      <c r="I103" s="18"/>
      <c r="J103" s="19">
        <v>4500</v>
      </c>
      <c r="K103" s="18">
        <v>33620.99</v>
      </c>
      <c r="L103" s="18"/>
      <c r="M103" s="18"/>
    </row>
    <row r="104" spans="1:13" ht="15" hidden="1" customHeight="1" x14ac:dyDescent="0.25">
      <c r="A104" s="13" t="s">
        <v>62</v>
      </c>
      <c r="B104" s="14">
        <v>45467</v>
      </c>
      <c r="C104" s="31">
        <f t="shared" si="2"/>
        <v>0</v>
      </c>
      <c r="D104" s="15" t="s">
        <v>35</v>
      </c>
      <c r="E104" s="15">
        <f t="shared" si="3"/>
        <v>0</v>
      </c>
      <c r="F104" s="16">
        <v>0</v>
      </c>
      <c r="G104" s="16"/>
      <c r="H104" s="16"/>
      <c r="I104" s="16"/>
      <c r="J104" s="17">
        <v>14281502</v>
      </c>
      <c r="K104" s="16">
        <v>136526809.36000001</v>
      </c>
      <c r="L104" s="16"/>
      <c r="M104" s="16"/>
    </row>
    <row r="105" spans="1:13" ht="14.25" customHeight="1" x14ac:dyDescent="0.25">
      <c r="A105" s="15" t="s">
        <v>11</v>
      </c>
      <c r="B105" s="15"/>
      <c r="C105" s="31">
        <f t="shared" si="2"/>
        <v>45467</v>
      </c>
      <c r="D105" s="15"/>
      <c r="E105" s="15" t="str">
        <f t="shared" si="3"/>
        <v>Татан авалт</v>
      </c>
      <c r="F105" s="18">
        <v>0</v>
      </c>
      <c r="G105" s="18"/>
      <c r="H105" s="18"/>
      <c r="I105" s="18"/>
      <c r="J105" s="19">
        <v>3800</v>
      </c>
      <c r="K105" s="18">
        <v>37420.99</v>
      </c>
      <c r="L105" s="18"/>
      <c r="M105" s="18"/>
    </row>
    <row r="106" spans="1:13" ht="14.25" hidden="1" customHeight="1" x14ac:dyDescent="0.25">
      <c r="A106" s="13" t="s">
        <v>63</v>
      </c>
      <c r="B106" s="14">
        <v>45499</v>
      </c>
      <c r="C106" s="31">
        <f t="shared" si="2"/>
        <v>0</v>
      </c>
      <c r="D106" s="15" t="s">
        <v>64</v>
      </c>
      <c r="E106" s="15">
        <f t="shared" si="3"/>
        <v>0</v>
      </c>
      <c r="F106" s="16">
        <v>0</v>
      </c>
      <c r="G106" s="16"/>
      <c r="H106" s="16"/>
      <c r="I106" s="16"/>
      <c r="J106" s="17">
        <v>0</v>
      </c>
      <c r="K106" s="16">
        <v>136526809.36000001</v>
      </c>
      <c r="L106" s="16"/>
      <c r="M106" s="16"/>
    </row>
    <row r="107" spans="1:13" ht="14.25" customHeight="1" x14ac:dyDescent="0.25">
      <c r="A107" s="15" t="s">
        <v>11</v>
      </c>
      <c r="B107" s="15"/>
      <c r="C107" s="31">
        <f t="shared" si="2"/>
        <v>45499</v>
      </c>
      <c r="D107" s="15"/>
      <c r="E107" s="15" t="str">
        <f t="shared" si="3"/>
        <v>Устгалд оруулах барааны татан авалт</v>
      </c>
      <c r="F107" s="18">
        <v>0</v>
      </c>
      <c r="G107" s="18"/>
      <c r="H107" s="18"/>
      <c r="I107" s="18"/>
      <c r="J107" s="19">
        <v>0</v>
      </c>
      <c r="K107" s="18">
        <v>37420.99</v>
      </c>
      <c r="L107" s="18"/>
      <c r="M107" s="18"/>
    </row>
    <row r="108" spans="1:13" ht="14.25" hidden="1" customHeight="1" x14ac:dyDescent="0.25">
      <c r="A108" s="13" t="s">
        <v>65</v>
      </c>
      <c r="B108" s="14">
        <v>45523</v>
      </c>
      <c r="C108" s="31">
        <f t="shared" si="2"/>
        <v>0</v>
      </c>
      <c r="D108" s="15" t="s">
        <v>35</v>
      </c>
      <c r="E108" s="15">
        <f t="shared" si="3"/>
        <v>0</v>
      </c>
      <c r="F108" s="16">
        <v>0</v>
      </c>
      <c r="G108" s="16"/>
      <c r="H108" s="16"/>
      <c r="I108" s="16"/>
      <c r="J108" s="17">
        <v>684008.78</v>
      </c>
      <c r="K108" s="16">
        <v>137210818.13999999</v>
      </c>
      <c r="L108" s="16"/>
      <c r="M108" s="16"/>
    </row>
    <row r="109" spans="1:13" ht="15" customHeight="1" x14ac:dyDescent="0.25">
      <c r="A109" s="15" t="s">
        <v>11</v>
      </c>
      <c r="B109" s="15"/>
      <c r="C109" s="31">
        <f t="shared" si="2"/>
        <v>45523</v>
      </c>
      <c r="D109" s="15"/>
      <c r="E109" s="15" t="str">
        <f t="shared" si="3"/>
        <v>Татан авалт</v>
      </c>
      <c r="F109" s="18">
        <v>0</v>
      </c>
      <c r="G109" s="18"/>
      <c r="H109" s="18"/>
      <c r="I109" s="18"/>
      <c r="J109" s="19">
        <v>182</v>
      </c>
      <c r="K109" s="18">
        <v>37602.99</v>
      </c>
      <c r="L109" s="18"/>
      <c r="M109" s="18"/>
    </row>
    <row r="110" spans="1:13" ht="14.25" hidden="1" customHeight="1" x14ac:dyDescent="0.25">
      <c r="A110" s="13" t="s">
        <v>66</v>
      </c>
      <c r="B110" s="14">
        <v>45581</v>
      </c>
      <c r="C110" s="31">
        <f t="shared" si="2"/>
        <v>0</v>
      </c>
      <c r="D110" s="15" t="s">
        <v>35</v>
      </c>
      <c r="E110" s="15">
        <f t="shared" si="3"/>
        <v>0</v>
      </c>
      <c r="F110" s="16">
        <v>0</v>
      </c>
      <c r="G110" s="16"/>
      <c r="H110" s="16"/>
      <c r="I110" s="16"/>
      <c r="J110" s="17">
        <v>4483107.76</v>
      </c>
      <c r="K110" s="16">
        <v>141693925.90000001</v>
      </c>
      <c r="L110" s="16"/>
      <c r="M110" s="16"/>
    </row>
    <row r="111" spans="1:13" ht="14.25" customHeight="1" x14ac:dyDescent="0.25">
      <c r="A111" s="15" t="s">
        <v>11</v>
      </c>
      <c r="B111" s="15"/>
      <c r="C111" s="31">
        <f t="shared" si="2"/>
        <v>45581</v>
      </c>
      <c r="D111" s="15"/>
      <c r="E111" s="15" t="str">
        <f t="shared" si="3"/>
        <v>Татан авалт</v>
      </c>
      <c r="F111" s="18">
        <v>0</v>
      </c>
      <c r="G111" s="18"/>
      <c r="H111" s="18"/>
      <c r="I111" s="18"/>
      <c r="J111" s="19">
        <v>1214</v>
      </c>
      <c r="K111" s="18">
        <v>38816.99</v>
      </c>
      <c r="L111" s="18"/>
      <c r="M111" s="18"/>
    </row>
    <row r="112" spans="1:13" ht="14.25" hidden="1" customHeight="1" x14ac:dyDescent="0.25">
      <c r="A112" s="13" t="s">
        <v>67</v>
      </c>
      <c r="B112" s="14">
        <v>45617</v>
      </c>
      <c r="C112" s="31">
        <f t="shared" si="2"/>
        <v>0</v>
      </c>
      <c r="D112" s="15" t="s">
        <v>35</v>
      </c>
      <c r="E112" s="15">
        <f t="shared" si="3"/>
        <v>0</v>
      </c>
      <c r="F112" s="16">
        <v>0</v>
      </c>
      <c r="G112" s="16"/>
      <c r="H112" s="16"/>
      <c r="I112" s="16"/>
      <c r="J112" s="17">
        <v>47797793.520000003</v>
      </c>
      <c r="K112" s="16">
        <v>189491719.41999999</v>
      </c>
      <c r="L112" s="16"/>
      <c r="M112" s="16"/>
    </row>
    <row r="113" spans="1:13" ht="14.25" customHeight="1" x14ac:dyDescent="0.25">
      <c r="A113" s="15" t="s">
        <v>11</v>
      </c>
      <c r="B113" s="15"/>
      <c r="C113" s="31">
        <f t="shared" si="2"/>
        <v>45617</v>
      </c>
      <c r="D113" s="15"/>
      <c r="E113" s="15" t="str">
        <f t="shared" si="3"/>
        <v>Татан авалт</v>
      </c>
      <c r="F113" s="18">
        <v>0</v>
      </c>
      <c r="G113" s="18"/>
      <c r="H113" s="18"/>
      <c r="I113" s="18"/>
      <c r="J113" s="19">
        <v>13242</v>
      </c>
      <c r="K113" s="18">
        <v>52058.99</v>
      </c>
      <c r="L113" s="18"/>
      <c r="M113" s="18"/>
    </row>
    <row r="114" spans="1:13" ht="15" hidden="1" customHeight="1" x14ac:dyDescent="0.25">
      <c r="A114" s="13" t="s">
        <v>31</v>
      </c>
      <c r="B114" s="14">
        <v>45657</v>
      </c>
      <c r="C114" s="31">
        <f t="shared" si="2"/>
        <v>0</v>
      </c>
      <c r="D114" s="15" t="s">
        <v>23</v>
      </c>
      <c r="E114" s="15">
        <f t="shared" si="3"/>
        <v>0</v>
      </c>
      <c r="F114" s="16">
        <v>12030401.76</v>
      </c>
      <c r="G114" s="16"/>
      <c r="H114" s="16"/>
      <c r="I114" s="16"/>
      <c r="J114" s="17">
        <v>0</v>
      </c>
      <c r="K114" s="16">
        <v>177461317.66</v>
      </c>
      <c r="L114" s="16"/>
      <c r="M114" s="16"/>
    </row>
    <row r="115" spans="1:13" ht="14.25" customHeight="1" x14ac:dyDescent="0.25">
      <c r="A115" s="15" t="s">
        <v>11</v>
      </c>
      <c r="B115" s="15"/>
      <c r="C115" s="31">
        <f t="shared" si="2"/>
        <v>45657</v>
      </c>
      <c r="D115" s="15"/>
      <c r="E115" s="15" t="str">
        <f t="shared" si="3"/>
        <v>Авлага өглөг хаав</v>
      </c>
      <c r="F115" s="18">
        <v>3306</v>
      </c>
      <c r="G115" s="18"/>
      <c r="H115" s="18"/>
      <c r="I115" s="18"/>
      <c r="J115" s="19">
        <v>0</v>
      </c>
      <c r="K115" s="18">
        <v>48752.99</v>
      </c>
      <c r="L115" s="18"/>
      <c r="M115" s="18"/>
    </row>
    <row r="116" spans="1:13" ht="14.25" hidden="1" customHeight="1" x14ac:dyDescent="0.25">
      <c r="A116" s="13" t="s">
        <v>31</v>
      </c>
      <c r="B116" s="14">
        <v>45657</v>
      </c>
      <c r="C116" s="31">
        <f t="shared" si="2"/>
        <v>0</v>
      </c>
      <c r="D116" s="15" t="s">
        <v>23</v>
      </c>
      <c r="E116" s="15">
        <f t="shared" si="3"/>
        <v>0</v>
      </c>
      <c r="F116" s="16">
        <v>22396571</v>
      </c>
      <c r="G116" s="16"/>
      <c r="H116" s="16"/>
      <c r="I116" s="16"/>
      <c r="J116" s="17">
        <v>0</v>
      </c>
      <c r="K116" s="16">
        <v>155064746.66</v>
      </c>
      <c r="L116" s="16"/>
      <c r="M116" s="16"/>
    </row>
    <row r="117" spans="1:13" ht="14.25" customHeight="1" x14ac:dyDescent="0.25">
      <c r="A117" s="15" t="s">
        <v>11</v>
      </c>
      <c r="B117" s="15"/>
      <c r="C117" s="31">
        <f t="shared" si="2"/>
        <v>45657</v>
      </c>
      <c r="D117" s="15"/>
      <c r="E117" s="15" t="str">
        <f t="shared" si="3"/>
        <v>Авлага өглөг хаав</v>
      </c>
      <c r="F117" s="18">
        <v>6140</v>
      </c>
      <c r="G117" s="18"/>
      <c r="H117" s="18"/>
      <c r="I117" s="18"/>
      <c r="J117" s="19">
        <v>0</v>
      </c>
      <c r="K117" s="18">
        <v>42612.99</v>
      </c>
      <c r="L117" s="18"/>
      <c r="M117" s="18"/>
    </row>
    <row r="118" spans="1:13" ht="14.25" hidden="1" customHeight="1" x14ac:dyDescent="0.25">
      <c r="A118" s="13" t="s">
        <v>31</v>
      </c>
      <c r="B118" s="14">
        <v>45657</v>
      </c>
      <c r="C118" s="31">
        <f t="shared" si="2"/>
        <v>0</v>
      </c>
      <c r="D118" s="15" t="s">
        <v>23</v>
      </c>
      <c r="E118" s="15">
        <f t="shared" si="3"/>
        <v>0</v>
      </c>
      <c r="F118" s="16">
        <v>40445143.200000003</v>
      </c>
      <c r="G118" s="16"/>
      <c r="H118" s="16"/>
      <c r="I118" s="16"/>
      <c r="J118" s="17">
        <v>0</v>
      </c>
      <c r="K118" s="16">
        <v>114619603.45999999</v>
      </c>
      <c r="L118" s="16"/>
      <c r="M118" s="16"/>
    </row>
    <row r="119" spans="1:13" ht="15" customHeight="1" x14ac:dyDescent="0.25">
      <c r="A119" s="15" t="s">
        <v>11</v>
      </c>
      <c r="B119" s="15"/>
      <c r="C119" s="31">
        <f t="shared" si="2"/>
        <v>45657</v>
      </c>
      <c r="D119" s="15"/>
      <c r="E119" s="15" t="str">
        <f t="shared" si="3"/>
        <v>Авлага өглөг хаав</v>
      </c>
      <c r="F119" s="18">
        <v>11088</v>
      </c>
      <c r="G119" s="18"/>
      <c r="H119" s="18"/>
      <c r="I119" s="18"/>
      <c r="J119" s="19">
        <v>0</v>
      </c>
      <c r="K119" s="18">
        <v>31524.99</v>
      </c>
      <c r="L119" s="18"/>
      <c r="M119" s="18"/>
    </row>
    <row r="120" spans="1:13" ht="14.25" hidden="1" customHeight="1" x14ac:dyDescent="0.25">
      <c r="A120" s="13" t="s">
        <v>31</v>
      </c>
      <c r="B120" s="14">
        <v>45657</v>
      </c>
      <c r="C120" s="31">
        <f t="shared" si="2"/>
        <v>0</v>
      </c>
      <c r="D120" s="15" t="s">
        <v>23</v>
      </c>
      <c r="E120" s="15">
        <f t="shared" si="3"/>
        <v>0</v>
      </c>
      <c r="F120" s="16">
        <v>22149364.640000001</v>
      </c>
      <c r="G120" s="16"/>
      <c r="H120" s="16"/>
      <c r="I120" s="16"/>
      <c r="J120" s="17">
        <v>0</v>
      </c>
      <c r="K120" s="16">
        <v>92470238.819999993</v>
      </c>
      <c r="L120" s="16"/>
      <c r="M120" s="16"/>
    </row>
    <row r="121" spans="1:13" ht="14.25" customHeight="1" x14ac:dyDescent="0.25">
      <c r="A121" s="15" t="s">
        <v>11</v>
      </c>
      <c r="B121" s="15"/>
      <c r="C121" s="31">
        <f t="shared" si="2"/>
        <v>45657</v>
      </c>
      <c r="D121" s="15"/>
      <c r="E121" s="15" t="str">
        <f t="shared" si="3"/>
        <v>Авлага өглөг хаав</v>
      </c>
      <c r="F121" s="18">
        <v>6136</v>
      </c>
      <c r="G121" s="18"/>
      <c r="H121" s="18"/>
      <c r="I121" s="18"/>
      <c r="J121" s="19">
        <v>0</v>
      </c>
      <c r="K121" s="18">
        <v>25388.99</v>
      </c>
      <c r="L121" s="18"/>
      <c r="M121" s="18"/>
    </row>
    <row r="122" spans="1:13" ht="14.25" hidden="1" customHeight="1" x14ac:dyDescent="0.25">
      <c r="A122" s="13" t="s">
        <v>31</v>
      </c>
      <c r="B122" s="14">
        <v>45657</v>
      </c>
      <c r="C122" s="31">
        <f t="shared" si="2"/>
        <v>0</v>
      </c>
      <c r="D122" s="15" t="s">
        <v>23</v>
      </c>
      <c r="E122" s="15">
        <f t="shared" si="3"/>
        <v>0</v>
      </c>
      <c r="F122" s="16">
        <v>16243830</v>
      </c>
      <c r="G122" s="16"/>
      <c r="H122" s="16"/>
      <c r="I122" s="16"/>
      <c r="J122" s="17">
        <v>0</v>
      </c>
      <c r="K122" s="16">
        <v>76226408.819999993</v>
      </c>
      <c r="L122" s="16"/>
      <c r="M122" s="16"/>
    </row>
    <row r="123" spans="1:13" ht="14.25" customHeight="1" x14ac:dyDescent="0.25">
      <c r="A123" s="15" t="s">
        <v>11</v>
      </c>
      <c r="B123" s="15"/>
      <c r="C123" s="31">
        <f t="shared" si="2"/>
        <v>45657</v>
      </c>
      <c r="D123" s="15"/>
      <c r="E123" s="15" t="str">
        <f t="shared" si="3"/>
        <v>Авлага өглөг хаав</v>
      </c>
      <c r="F123" s="18">
        <v>4500</v>
      </c>
      <c r="G123" s="18"/>
      <c r="H123" s="18"/>
      <c r="I123" s="18"/>
      <c r="J123" s="19">
        <v>0</v>
      </c>
      <c r="K123" s="18">
        <v>20888.990000000002</v>
      </c>
      <c r="L123" s="18"/>
      <c r="M123" s="18"/>
    </row>
    <row r="124" spans="1:13" ht="15" hidden="1" customHeight="1" x14ac:dyDescent="0.25">
      <c r="A124" s="13" t="s">
        <v>31</v>
      </c>
      <c r="B124" s="14">
        <v>45657</v>
      </c>
      <c r="C124" s="31">
        <f t="shared" si="2"/>
        <v>0</v>
      </c>
      <c r="D124" s="15" t="s">
        <v>23</v>
      </c>
      <c r="E124" s="15">
        <f t="shared" si="3"/>
        <v>0</v>
      </c>
      <c r="F124" s="16">
        <v>684008.78</v>
      </c>
      <c r="G124" s="16"/>
      <c r="H124" s="16"/>
      <c r="I124" s="16"/>
      <c r="J124" s="17">
        <v>0</v>
      </c>
      <c r="K124" s="16">
        <v>75542400.040000007</v>
      </c>
      <c r="L124" s="16"/>
      <c r="M124" s="16"/>
    </row>
    <row r="125" spans="1:13" ht="14.25" customHeight="1" x14ac:dyDescent="0.25">
      <c r="A125" s="15" t="s">
        <v>11</v>
      </c>
      <c r="B125" s="15"/>
      <c r="C125" s="31">
        <f t="shared" si="2"/>
        <v>45657</v>
      </c>
      <c r="D125" s="15"/>
      <c r="E125" s="15" t="str">
        <f t="shared" si="3"/>
        <v>Авлага өглөг хаав</v>
      </c>
      <c r="F125" s="18">
        <v>182</v>
      </c>
      <c r="G125" s="18"/>
      <c r="H125" s="18"/>
      <c r="I125" s="18"/>
      <c r="J125" s="19">
        <v>0</v>
      </c>
      <c r="K125" s="18">
        <v>20706.990000000002</v>
      </c>
      <c r="L125" s="18"/>
      <c r="M125" s="18"/>
    </row>
    <row r="126" spans="1:13" ht="14.25" hidden="1" customHeight="1" x14ac:dyDescent="0.25">
      <c r="A126" s="13" t="s">
        <v>31</v>
      </c>
      <c r="B126" s="14">
        <v>45657</v>
      </c>
      <c r="C126" s="31">
        <f t="shared" si="2"/>
        <v>0</v>
      </c>
      <c r="D126" s="15" t="s">
        <v>23</v>
      </c>
      <c r="E126" s="15">
        <f t="shared" si="3"/>
        <v>0</v>
      </c>
      <c r="F126" s="16">
        <v>4483107.76</v>
      </c>
      <c r="G126" s="16"/>
      <c r="H126" s="16"/>
      <c r="I126" s="16"/>
      <c r="J126" s="17">
        <v>0</v>
      </c>
      <c r="K126" s="16">
        <v>71059292.280000001</v>
      </c>
      <c r="L126" s="16"/>
      <c r="M126" s="16"/>
    </row>
    <row r="127" spans="1:13" ht="14.25" customHeight="1" x14ac:dyDescent="0.25">
      <c r="A127" s="15" t="s">
        <v>11</v>
      </c>
      <c r="B127" s="15"/>
      <c r="C127" s="31">
        <f t="shared" si="2"/>
        <v>45657</v>
      </c>
      <c r="D127" s="15"/>
      <c r="E127" s="15" t="str">
        <f t="shared" si="3"/>
        <v>Авлага өглөг хаав</v>
      </c>
      <c r="F127" s="18">
        <v>1214</v>
      </c>
      <c r="G127" s="18"/>
      <c r="H127" s="18"/>
      <c r="I127" s="18"/>
      <c r="J127" s="19">
        <v>0</v>
      </c>
      <c r="K127" s="18">
        <v>19492.990000000002</v>
      </c>
      <c r="L127" s="18"/>
      <c r="M127" s="18"/>
    </row>
    <row r="128" spans="1:13" ht="14.25" hidden="1" customHeight="1" x14ac:dyDescent="0.25">
      <c r="A128" s="13" t="s">
        <v>31</v>
      </c>
      <c r="B128" s="14">
        <v>45657</v>
      </c>
      <c r="C128" s="31">
        <f t="shared" si="2"/>
        <v>0</v>
      </c>
      <c r="D128" s="15" t="s">
        <v>23</v>
      </c>
      <c r="E128" s="15">
        <f t="shared" si="3"/>
        <v>0</v>
      </c>
      <c r="F128" s="16">
        <v>14281502</v>
      </c>
      <c r="G128" s="16"/>
      <c r="H128" s="16"/>
      <c r="I128" s="16"/>
      <c r="J128" s="17">
        <v>0</v>
      </c>
      <c r="K128" s="16">
        <v>56777790.280000001</v>
      </c>
      <c r="L128" s="16"/>
      <c r="M128" s="16"/>
    </row>
    <row r="129" spans="1:13" ht="15" customHeight="1" x14ac:dyDescent="0.25">
      <c r="A129" s="15" t="s">
        <v>11</v>
      </c>
      <c r="B129" s="15"/>
      <c r="C129" s="31">
        <f t="shared" si="2"/>
        <v>45657</v>
      </c>
      <c r="D129" s="15"/>
      <c r="E129" s="15" t="str">
        <f t="shared" si="3"/>
        <v>Авлага өглөг хаав</v>
      </c>
      <c r="F129" s="18">
        <v>3800</v>
      </c>
      <c r="G129" s="18"/>
      <c r="H129" s="18"/>
      <c r="I129" s="18"/>
      <c r="J129" s="19">
        <v>0</v>
      </c>
      <c r="K129" s="18">
        <v>15692.99</v>
      </c>
      <c r="L129" s="18"/>
      <c r="M129" s="18"/>
    </row>
    <row r="130" spans="1:13" ht="14.25" hidden="1" customHeight="1" x14ac:dyDescent="0.25">
      <c r="A130" s="13" t="s">
        <v>31</v>
      </c>
      <c r="B130" s="14">
        <v>45657</v>
      </c>
      <c r="C130" s="31">
        <f t="shared" si="2"/>
        <v>0</v>
      </c>
      <c r="D130" s="15" t="s">
        <v>23</v>
      </c>
      <c r="E130" s="15">
        <f t="shared" si="3"/>
        <v>0</v>
      </c>
      <c r="F130" s="16">
        <v>47797793.520000003</v>
      </c>
      <c r="G130" s="16"/>
      <c r="H130" s="16"/>
      <c r="I130" s="16"/>
      <c r="J130" s="17">
        <v>0</v>
      </c>
      <c r="K130" s="16">
        <v>8979996.7599999998</v>
      </c>
      <c r="L130" s="16"/>
      <c r="M130" s="16"/>
    </row>
    <row r="131" spans="1:13" ht="14.25" customHeight="1" x14ac:dyDescent="0.25">
      <c r="A131" s="15" t="s">
        <v>11</v>
      </c>
      <c r="B131" s="15"/>
      <c r="C131" s="31">
        <f t="shared" si="2"/>
        <v>45657</v>
      </c>
      <c r="D131" s="15"/>
      <c r="E131" s="15" t="str">
        <f t="shared" si="3"/>
        <v>Авлага өглөг хаав</v>
      </c>
      <c r="F131" s="18">
        <v>13242</v>
      </c>
      <c r="G131" s="18"/>
      <c r="H131" s="18"/>
      <c r="I131" s="18"/>
      <c r="J131" s="19">
        <v>0</v>
      </c>
      <c r="K131" s="18">
        <v>2450.9899999999998</v>
      </c>
      <c r="L131" s="18"/>
      <c r="M131" s="18"/>
    </row>
    <row r="132" spans="1:13" ht="14.25" hidden="1" customHeight="1" x14ac:dyDescent="0.25">
      <c r="A132" s="13" t="s">
        <v>31</v>
      </c>
      <c r="B132" s="14">
        <v>45657</v>
      </c>
      <c r="C132" s="31">
        <f t="shared" si="2"/>
        <v>0</v>
      </c>
      <c r="D132" s="15" t="s">
        <v>23</v>
      </c>
      <c r="E132" s="15">
        <f t="shared" si="3"/>
        <v>0</v>
      </c>
      <c r="F132" s="16">
        <v>8030963.8799999999</v>
      </c>
      <c r="G132" s="16"/>
      <c r="H132" s="16"/>
      <c r="I132" s="16"/>
      <c r="J132" s="17">
        <v>0</v>
      </c>
      <c r="K132" s="16">
        <v>949032.88</v>
      </c>
      <c r="L132" s="16"/>
      <c r="M132" s="16"/>
    </row>
    <row r="133" spans="1:13" ht="14.25" customHeight="1" x14ac:dyDescent="0.25">
      <c r="A133" s="15" t="s">
        <v>11</v>
      </c>
      <c r="B133" s="15"/>
      <c r="C133" s="31">
        <f t="shared" si="2"/>
        <v>45657</v>
      </c>
      <c r="D133" s="15"/>
      <c r="E133" s="15" t="str">
        <f t="shared" si="3"/>
        <v>Авлага өглөг хаав</v>
      </c>
      <c r="F133" s="18">
        <v>2148</v>
      </c>
      <c r="G133" s="18"/>
      <c r="H133" s="18"/>
      <c r="I133" s="18"/>
      <c r="J133" s="19">
        <v>0</v>
      </c>
      <c r="K133" s="18">
        <v>302.99</v>
      </c>
      <c r="L133" s="18"/>
      <c r="M133" s="18"/>
    </row>
    <row r="134" spans="1:13" ht="15" hidden="1" customHeight="1" x14ac:dyDescent="0.25">
      <c r="A134" s="13" t="s">
        <v>31</v>
      </c>
      <c r="B134" s="14">
        <v>45657</v>
      </c>
      <c r="C134" s="31">
        <f t="shared" si="2"/>
        <v>0</v>
      </c>
      <c r="D134" s="15" t="s">
        <v>23</v>
      </c>
      <c r="E134" s="15">
        <f t="shared" si="3"/>
        <v>0</v>
      </c>
      <c r="F134" s="16">
        <v>1132822.04</v>
      </c>
      <c r="G134" s="16"/>
      <c r="H134" s="16"/>
      <c r="I134" s="16"/>
      <c r="J134" s="17">
        <v>0</v>
      </c>
      <c r="K134" s="16">
        <v>-183789.16</v>
      </c>
      <c r="L134" s="16"/>
      <c r="M134" s="16"/>
    </row>
    <row r="135" spans="1:13" ht="14.25" customHeight="1" x14ac:dyDescent="0.25">
      <c r="A135" s="15" t="s">
        <v>11</v>
      </c>
      <c r="B135" s="15"/>
      <c r="C135" s="31">
        <f t="shared" si="2"/>
        <v>45657</v>
      </c>
      <c r="D135" s="15"/>
      <c r="E135" s="15" t="str">
        <f t="shared" si="3"/>
        <v>Авлага өглөг хаав</v>
      </c>
      <c r="F135" s="18">
        <v>302.99</v>
      </c>
      <c r="G135" s="18"/>
      <c r="H135" s="18"/>
      <c r="I135" s="18"/>
      <c r="J135" s="19">
        <v>0</v>
      </c>
      <c r="K135" s="18">
        <v>0</v>
      </c>
      <c r="L135" s="18"/>
      <c r="M135" s="18"/>
    </row>
    <row r="136" spans="1:13" ht="14.25" hidden="1" customHeight="1" x14ac:dyDescent="0.25">
      <c r="A136" s="13" t="s">
        <v>68</v>
      </c>
      <c r="B136" s="14">
        <v>45808</v>
      </c>
      <c r="C136" s="31">
        <f t="shared" si="2"/>
        <v>0</v>
      </c>
      <c r="D136" s="15" t="s">
        <v>33</v>
      </c>
      <c r="E136" s="15">
        <f t="shared" si="3"/>
        <v>0</v>
      </c>
      <c r="F136" s="16">
        <v>0</v>
      </c>
      <c r="G136" s="16"/>
      <c r="H136" s="16"/>
      <c r="I136" s="16"/>
      <c r="J136" s="17">
        <v>2063099.99</v>
      </c>
      <c r="K136" s="16">
        <v>1879310.83</v>
      </c>
      <c r="L136" s="16"/>
      <c r="M136" s="16"/>
    </row>
    <row r="137" spans="1:13" ht="14.25" customHeight="1" x14ac:dyDescent="0.25">
      <c r="A137" s="15" t="s">
        <v>11</v>
      </c>
      <c r="B137" s="15"/>
      <c r="C137" s="31">
        <f t="shared" si="2"/>
        <v>45808</v>
      </c>
      <c r="D137" s="15"/>
      <c r="E137" s="15" t="str">
        <f t="shared" si="3"/>
        <v>Тооцооны ханшийн тэгшитгэл</v>
      </c>
      <c r="F137" s="18">
        <v>0</v>
      </c>
      <c r="G137" s="18"/>
      <c r="H137" s="18"/>
      <c r="I137" s="18"/>
      <c r="J137" s="19">
        <v>0</v>
      </c>
      <c r="K137" s="18">
        <v>0</v>
      </c>
      <c r="L137" s="18"/>
      <c r="M137" s="18"/>
    </row>
    <row r="138" spans="1:13" ht="14.25" hidden="1" customHeight="1" x14ac:dyDescent="0.25">
      <c r="A138" s="13" t="s">
        <v>68</v>
      </c>
      <c r="B138" s="14">
        <v>45808</v>
      </c>
      <c r="C138" s="31">
        <f t="shared" ref="C138:C146" si="4">+B137</f>
        <v>0</v>
      </c>
      <c r="D138" s="15" t="s">
        <v>33</v>
      </c>
      <c r="E138" s="15">
        <f t="shared" ref="E138:E148" si="5">+D137</f>
        <v>0</v>
      </c>
      <c r="F138" s="16">
        <v>0</v>
      </c>
      <c r="G138" s="16"/>
      <c r="H138" s="16"/>
      <c r="I138" s="16"/>
      <c r="J138" s="17">
        <v>300383.15999999997</v>
      </c>
      <c r="K138" s="16">
        <v>2179693.9900000002</v>
      </c>
      <c r="L138" s="16"/>
      <c r="M138" s="16"/>
    </row>
    <row r="139" spans="1:13" ht="15" customHeight="1" x14ac:dyDescent="0.25">
      <c r="A139" s="15" t="s">
        <v>11</v>
      </c>
      <c r="B139" s="15"/>
      <c r="C139" s="31">
        <f t="shared" si="4"/>
        <v>45808</v>
      </c>
      <c r="D139" s="15"/>
      <c r="E139" s="15" t="str">
        <f t="shared" si="5"/>
        <v>Тооцооны ханшийн тэгшитгэл</v>
      </c>
      <c r="F139" s="18">
        <v>0</v>
      </c>
      <c r="G139" s="18"/>
      <c r="H139" s="18"/>
      <c r="I139" s="18"/>
      <c r="J139" s="19">
        <v>0</v>
      </c>
      <c r="K139" s="18">
        <v>0</v>
      </c>
      <c r="L139" s="18"/>
      <c r="M139" s="18"/>
    </row>
    <row r="140" spans="1:13" ht="14.25" hidden="1" customHeight="1" x14ac:dyDescent="0.25">
      <c r="A140" s="13" t="s">
        <v>68</v>
      </c>
      <c r="B140" s="14">
        <v>45808</v>
      </c>
      <c r="C140" s="31">
        <f t="shared" si="4"/>
        <v>0</v>
      </c>
      <c r="D140" s="15" t="s">
        <v>33</v>
      </c>
      <c r="E140" s="15">
        <f t="shared" si="5"/>
        <v>0</v>
      </c>
      <c r="F140" s="16">
        <v>0</v>
      </c>
      <c r="G140" s="16"/>
      <c r="H140" s="16"/>
      <c r="I140" s="16"/>
      <c r="J140" s="17">
        <v>34635.089999999997</v>
      </c>
      <c r="K140" s="16">
        <v>2214329.08</v>
      </c>
      <c r="L140" s="16"/>
      <c r="M140" s="16"/>
    </row>
    <row r="141" spans="1:13" ht="14.25" customHeight="1" x14ac:dyDescent="0.25">
      <c r="A141" s="15" t="s">
        <v>11</v>
      </c>
      <c r="B141" s="15"/>
      <c r="C141" s="31">
        <f t="shared" si="4"/>
        <v>45808</v>
      </c>
      <c r="D141" s="15"/>
      <c r="E141" s="15" t="str">
        <f t="shared" si="5"/>
        <v>Тооцооны ханшийн тэгшитгэл</v>
      </c>
      <c r="F141" s="18">
        <v>0</v>
      </c>
      <c r="G141" s="18"/>
      <c r="H141" s="18"/>
      <c r="I141" s="18"/>
      <c r="J141" s="19">
        <v>0</v>
      </c>
      <c r="K141" s="18">
        <v>0</v>
      </c>
      <c r="L141" s="18"/>
      <c r="M141" s="18"/>
    </row>
    <row r="142" spans="1:13" ht="14.25" hidden="1" customHeight="1" x14ac:dyDescent="0.25">
      <c r="A142" s="13" t="s">
        <v>68</v>
      </c>
      <c r="B142" s="14">
        <v>45808</v>
      </c>
      <c r="C142" s="31">
        <f t="shared" si="4"/>
        <v>0</v>
      </c>
      <c r="D142" s="15" t="s">
        <v>33</v>
      </c>
      <c r="E142" s="15">
        <f t="shared" si="5"/>
        <v>0</v>
      </c>
      <c r="F142" s="16">
        <v>0</v>
      </c>
      <c r="G142" s="16"/>
      <c r="H142" s="16"/>
      <c r="I142" s="16"/>
      <c r="J142" s="17">
        <v>374042.96</v>
      </c>
      <c r="K142" s="16">
        <v>2588372.04</v>
      </c>
      <c r="L142" s="16"/>
      <c r="M142" s="16"/>
    </row>
    <row r="143" spans="1:13" ht="14.25" customHeight="1" x14ac:dyDescent="0.25">
      <c r="A143" s="15" t="s">
        <v>11</v>
      </c>
      <c r="B143" s="15"/>
      <c r="C143" s="31">
        <f t="shared" si="4"/>
        <v>45808</v>
      </c>
      <c r="D143" s="15"/>
      <c r="E143" s="15" t="str">
        <f t="shared" si="5"/>
        <v>Тооцооны ханшийн тэгшитгэл</v>
      </c>
      <c r="F143" s="18">
        <v>0</v>
      </c>
      <c r="G143" s="18"/>
      <c r="H143" s="18"/>
      <c r="I143" s="18"/>
      <c r="J143" s="19">
        <v>0</v>
      </c>
      <c r="K143" s="18">
        <v>0</v>
      </c>
      <c r="L143" s="18"/>
      <c r="M143" s="18"/>
    </row>
    <row r="144" spans="1:13" ht="15" customHeight="1" x14ac:dyDescent="0.25">
      <c r="A144" s="6" t="s">
        <v>37</v>
      </c>
      <c r="B144" s="6"/>
      <c r="C144" s="31">
        <f t="shared" si="4"/>
        <v>0</v>
      </c>
      <c r="D144" s="6"/>
      <c r="E144" s="15">
        <f t="shared" si="5"/>
        <v>0</v>
      </c>
      <c r="F144" s="11">
        <v>397420879.56</v>
      </c>
      <c r="G144" s="11"/>
      <c r="H144" s="11"/>
      <c r="I144" s="11"/>
      <c r="J144" s="21">
        <v>400009251.60000002</v>
      </c>
      <c r="K144" s="11">
        <v>2588372.04</v>
      </c>
      <c r="L144" s="11"/>
      <c r="M144" s="11"/>
    </row>
    <row r="145" spans="1:13" ht="14.25" customHeight="1" x14ac:dyDescent="0.25">
      <c r="A145" s="12" t="s">
        <v>11</v>
      </c>
      <c r="B145" s="12"/>
      <c r="C145" s="31">
        <f t="shared" si="4"/>
        <v>0</v>
      </c>
      <c r="D145" s="12"/>
      <c r="E145" s="15">
        <f t="shared" si="5"/>
        <v>0</v>
      </c>
      <c r="F145" s="11">
        <v>106791.47</v>
      </c>
      <c r="G145" s="11"/>
      <c r="H145" s="11"/>
      <c r="I145" s="11"/>
      <c r="J145" s="21">
        <v>106791.47</v>
      </c>
      <c r="K145" s="11">
        <v>0</v>
      </c>
      <c r="L145" s="11"/>
      <c r="M145" s="11"/>
    </row>
    <row r="146" spans="1:13" ht="14.25" customHeight="1" x14ac:dyDescent="0.25">
      <c r="A146" s="6" t="s">
        <v>69</v>
      </c>
      <c r="B146" s="6"/>
      <c r="C146" s="31">
        <f t="shared" si="4"/>
        <v>0</v>
      </c>
      <c r="D146" s="6"/>
      <c r="E146" s="15">
        <f t="shared" si="5"/>
        <v>0</v>
      </c>
      <c r="F146" s="6"/>
      <c r="G146" s="6"/>
      <c r="H146" s="6"/>
      <c r="I146" s="6"/>
      <c r="J146" s="6"/>
      <c r="K146" s="11">
        <v>36328247.18</v>
      </c>
      <c r="L146" s="11"/>
      <c r="M146" s="11"/>
    </row>
    <row r="147" spans="1:13" ht="14.25" customHeight="1" x14ac:dyDescent="0.25">
      <c r="A147" s="6" t="s">
        <v>70</v>
      </c>
      <c r="B147" s="6"/>
      <c r="C147" s="27"/>
      <c r="D147" s="6"/>
      <c r="E147" s="15">
        <f t="shared" si="5"/>
        <v>0</v>
      </c>
      <c r="F147" s="6"/>
      <c r="G147" s="6"/>
      <c r="H147" s="6"/>
      <c r="I147" s="6"/>
      <c r="J147" s="6"/>
      <c r="K147" s="11">
        <v>2588372.04</v>
      </c>
      <c r="L147" s="11"/>
      <c r="M147" s="11"/>
    </row>
    <row r="148" spans="1:13" ht="14.25" customHeight="1" x14ac:dyDescent="0.25">
      <c r="A148" s="6" t="s">
        <v>71</v>
      </c>
      <c r="B148" s="6"/>
      <c r="C148" s="27"/>
      <c r="D148" s="6"/>
      <c r="E148" s="15">
        <f t="shared" si="5"/>
        <v>0</v>
      </c>
      <c r="F148" s="11">
        <v>33739875.140000001</v>
      </c>
      <c r="G148" s="11"/>
      <c r="H148" s="11"/>
      <c r="I148" s="11"/>
      <c r="J148" s="21">
        <v>0</v>
      </c>
      <c r="K148" s="6"/>
      <c r="L148" s="6"/>
      <c r="M148" s="6"/>
    </row>
    <row r="149" spans="1:13" ht="36" customHeight="1" x14ac:dyDescent="0.25">
      <c r="A149" s="6" t="s">
        <v>72</v>
      </c>
      <c r="B149" s="6"/>
      <c r="C149" s="27"/>
      <c r="D149" s="6"/>
      <c r="E149" s="27"/>
      <c r="F149" s="11">
        <v>33739875.140000001</v>
      </c>
      <c r="G149" s="11"/>
      <c r="H149" s="11"/>
      <c r="I149" s="11"/>
      <c r="J149" s="21">
        <v>0</v>
      </c>
      <c r="K149" s="11"/>
      <c r="L149" s="11"/>
      <c r="M149" s="11"/>
    </row>
    <row r="150" spans="1:13" ht="18" customHeight="1" x14ac:dyDescent="0.25">
      <c r="C150" s="30" t="s">
        <v>73</v>
      </c>
      <c r="D150" s="22"/>
      <c r="E150" s="30"/>
      <c r="F150" s="22"/>
      <c r="G150" s="23" t="s">
        <v>74</v>
      </c>
      <c r="H150" s="23"/>
      <c r="I150" s="23"/>
      <c r="J150" s="23"/>
      <c r="K150" s="23"/>
      <c r="L150" s="23"/>
    </row>
    <row r="151" spans="1:13" ht="18" customHeight="1" x14ac:dyDescent="0.25">
      <c r="C151" s="30" t="s">
        <v>75</v>
      </c>
      <c r="D151" s="22"/>
      <c r="E151" s="30"/>
      <c r="F151" s="22"/>
      <c r="G151" s="23" t="s">
        <v>76</v>
      </c>
      <c r="H151" s="23"/>
      <c r="I151" s="23"/>
      <c r="J151" s="23"/>
      <c r="K151" s="23"/>
      <c r="L151" s="23"/>
    </row>
    <row r="152" spans="1:13" ht="34.5" customHeight="1" x14ac:dyDescent="0.25">
      <c r="C152" s="30" t="s">
        <v>77</v>
      </c>
      <c r="D152" s="22"/>
      <c r="E152" s="30"/>
      <c r="F152" s="22"/>
      <c r="G152" s="23" t="s">
        <v>78</v>
      </c>
      <c r="H152" s="23"/>
      <c r="I152" s="23"/>
      <c r="J152" s="23"/>
      <c r="K152" s="23"/>
      <c r="L152" s="23"/>
    </row>
    <row r="153" spans="1:13" ht="16.5" customHeight="1" x14ac:dyDescent="0.25">
      <c r="A153" s="22" t="s">
        <v>79</v>
      </c>
      <c r="B153" s="22"/>
      <c r="C153" s="30"/>
      <c r="D153" s="22"/>
      <c r="M153" s="24" t="s">
        <v>80</v>
      </c>
    </row>
  </sheetData>
  <autoFilter ref="A6:M153" xr:uid="{00000000-0001-0000-0000-000000000000}">
    <filterColumn colId="1">
      <filters blank="1"/>
    </filterColumn>
  </autoFilter>
  <pageMargins left="0.40000000596046398" right="0.40000000596046398" top="0.5" bottom="0.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B90D-1E23-4AF4-BDD6-430403C98C26}">
  <dimension ref="A1:W68"/>
  <sheetViews>
    <sheetView tabSelected="1" topLeftCell="B16" workbookViewId="0">
      <selection activeCell="F33" activeCellId="1" sqref="F32 F33"/>
    </sheetView>
  </sheetViews>
  <sheetFormatPr defaultRowHeight="15" x14ac:dyDescent="0.25"/>
  <cols>
    <col min="1" max="1" width="35.42578125" bestFit="1" customWidth="1"/>
    <col min="2" max="2" width="6.5703125" bestFit="1" customWidth="1"/>
    <col min="3" max="3" width="10.7109375" style="32" bestFit="1" customWidth="1"/>
    <col min="4" max="4" width="105.7109375" bestFit="1" customWidth="1"/>
    <col min="5" max="5" width="15.28515625" style="53" bestFit="1" customWidth="1"/>
    <col min="6" max="6" width="11.5703125" style="53" bestFit="1" customWidth="1"/>
    <col min="7" max="7" width="14.28515625" style="53" bestFit="1" customWidth="1"/>
    <col min="9" max="9" width="10.7109375" bestFit="1" customWidth="1"/>
    <col min="10" max="10" width="11.42578125" bestFit="1" customWidth="1"/>
    <col min="11" max="11" width="10.5703125" bestFit="1" customWidth="1"/>
    <col min="12" max="12" width="10.5703125" style="53" bestFit="1" customWidth="1"/>
    <col min="13" max="13" width="11.28515625" style="53" bestFit="1" customWidth="1"/>
    <col min="18" max="18" width="20.42578125" customWidth="1"/>
    <col min="21" max="21" width="13" customWidth="1"/>
  </cols>
  <sheetData>
    <row r="1" spans="1:8" x14ac:dyDescent="0.25">
      <c r="H1" t="s">
        <v>0</v>
      </c>
    </row>
    <row r="2" spans="1:8" x14ac:dyDescent="0.25">
      <c r="A2" t="s">
        <v>1</v>
      </c>
    </row>
    <row r="4" spans="1:8" x14ac:dyDescent="0.25">
      <c r="A4" t="s">
        <v>3</v>
      </c>
      <c r="B4" t="s">
        <v>4</v>
      </c>
      <c r="E4" s="53" t="s">
        <v>6</v>
      </c>
      <c r="F4" s="53" t="s">
        <v>7</v>
      </c>
      <c r="G4" s="53" t="s">
        <v>8</v>
      </c>
    </row>
    <row r="5" spans="1:8" x14ac:dyDescent="0.25">
      <c r="A5" t="s">
        <v>9</v>
      </c>
    </row>
    <row r="6" spans="1:8" x14ac:dyDescent="0.25">
      <c r="A6" t="s">
        <v>10</v>
      </c>
      <c r="F6" s="53" t="s">
        <v>12</v>
      </c>
      <c r="G6" s="53">
        <v>0</v>
      </c>
    </row>
    <row r="7" spans="1:8" x14ac:dyDescent="0.25">
      <c r="A7" t="s">
        <v>11</v>
      </c>
      <c r="G7" s="53">
        <v>0</v>
      </c>
    </row>
    <row r="8" spans="1:8" x14ac:dyDescent="0.25">
      <c r="A8" t="s">
        <v>11</v>
      </c>
      <c r="C8" s="35">
        <v>44926</v>
      </c>
      <c r="D8" s="36" t="s">
        <v>12</v>
      </c>
      <c r="E8" s="54">
        <v>3524.45</v>
      </c>
      <c r="F8" s="54">
        <v>0</v>
      </c>
      <c r="G8" s="54">
        <v>3524.45</v>
      </c>
    </row>
    <row r="9" spans="1:8" x14ac:dyDescent="0.25">
      <c r="A9" t="s">
        <v>11</v>
      </c>
      <c r="C9" s="32">
        <v>44949</v>
      </c>
      <c r="D9" t="s">
        <v>14</v>
      </c>
      <c r="E9" s="53">
        <v>8782.5</v>
      </c>
      <c r="F9" s="53">
        <v>0</v>
      </c>
      <c r="G9" s="53">
        <v>12306.95</v>
      </c>
    </row>
    <row r="10" spans="1:8" x14ac:dyDescent="0.25">
      <c r="A10" t="s">
        <v>11</v>
      </c>
      <c r="C10" s="33">
        <v>44987</v>
      </c>
      <c r="D10" s="34" t="s">
        <v>16</v>
      </c>
      <c r="E10" s="55">
        <v>8381.4</v>
      </c>
      <c r="F10" s="55">
        <v>0</v>
      </c>
      <c r="G10" s="55">
        <v>20688.349999999999</v>
      </c>
    </row>
    <row r="11" spans="1:8" x14ac:dyDescent="0.25">
      <c r="A11" t="s">
        <v>11</v>
      </c>
      <c r="C11" s="33">
        <v>45257</v>
      </c>
      <c r="D11" s="34" t="s">
        <v>18</v>
      </c>
      <c r="E11" s="55">
        <v>1169</v>
      </c>
      <c r="F11" s="55">
        <v>0</v>
      </c>
      <c r="G11" s="55">
        <v>21857.35</v>
      </c>
    </row>
    <row r="12" spans="1:8" x14ac:dyDescent="0.25">
      <c r="A12" t="s">
        <v>11</v>
      </c>
      <c r="C12" s="33">
        <v>45274</v>
      </c>
      <c r="D12" s="34" t="s">
        <v>20</v>
      </c>
      <c r="E12" s="55">
        <v>2450.9899999999998</v>
      </c>
      <c r="F12" s="55">
        <v>0</v>
      </c>
      <c r="G12" s="55">
        <v>24308.34</v>
      </c>
    </row>
    <row r="13" spans="1:8" x14ac:dyDescent="0.25">
      <c r="A13" t="s">
        <v>11</v>
      </c>
      <c r="C13" s="32">
        <v>45291</v>
      </c>
      <c r="D13" t="s">
        <v>23</v>
      </c>
      <c r="E13" s="53">
        <v>0</v>
      </c>
      <c r="F13" s="53">
        <v>1169</v>
      </c>
      <c r="G13" s="53">
        <v>23139.34</v>
      </c>
    </row>
    <row r="14" spans="1:8" x14ac:dyDescent="0.25">
      <c r="A14" t="s">
        <v>11</v>
      </c>
      <c r="C14" s="32">
        <v>45291</v>
      </c>
      <c r="D14" t="s">
        <v>23</v>
      </c>
      <c r="E14" s="53">
        <v>0</v>
      </c>
      <c r="F14" s="53">
        <v>8381.4</v>
      </c>
      <c r="G14" s="53">
        <v>14757.94</v>
      </c>
    </row>
    <row r="15" spans="1:8" x14ac:dyDescent="0.25">
      <c r="A15" t="s">
        <v>11</v>
      </c>
      <c r="C15" s="32">
        <v>45291</v>
      </c>
      <c r="D15" t="s">
        <v>23</v>
      </c>
      <c r="E15" s="53">
        <v>0</v>
      </c>
      <c r="F15" s="53">
        <v>0.2</v>
      </c>
      <c r="G15" s="53">
        <v>14757.74</v>
      </c>
    </row>
    <row r="16" spans="1:8" x14ac:dyDescent="0.25">
      <c r="A16" t="s">
        <v>11</v>
      </c>
      <c r="C16" s="33">
        <v>45371</v>
      </c>
      <c r="D16" s="34" t="s">
        <v>25</v>
      </c>
      <c r="E16" s="55">
        <v>17228</v>
      </c>
      <c r="F16" s="55">
        <v>0</v>
      </c>
      <c r="G16" s="55">
        <v>31985.74</v>
      </c>
    </row>
    <row r="17" spans="1:23" x14ac:dyDescent="0.25">
      <c r="A17" t="s">
        <v>11</v>
      </c>
      <c r="C17" s="33">
        <v>45404</v>
      </c>
      <c r="D17" s="34" t="s">
        <v>27</v>
      </c>
      <c r="E17" s="55">
        <v>3488</v>
      </c>
      <c r="F17" s="55">
        <v>0</v>
      </c>
      <c r="G17" s="55">
        <v>35473.74</v>
      </c>
    </row>
    <row r="18" spans="1:23" x14ac:dyDescent="0.25">
      <c r="A18" t="s">
        <v>11</v>
      </c>
      <c r="C18" s="33">
        <v>45405</v>
      </c>
      <c r="D18" s="34" t="s">
        <v>27</v>
      </c>
      <c r="E18" s="55">
        <v>14436</v>
      </c>
      <c r="F18" s="55">
        <v>0</v>
      </c>
      <c r="G18" s="55">
        <v>49909.74</v>
      </c>
    </row>
    <row r="19" spans="1:23" x14ac:dyDescent="0.25">
      <c r="A19" t="s">
        <v>11</v>
      </c>
      <c r="C19" s="33">
        <v>45565</v>
      </c>
      <c r="D19" s="34" t="s">
        <v>30</v>
      </c>
      <c r="E19" s="55">
        <v>14456</v>
      </c>
      <c r="F19" s="55">
        <v>0</v>
      </c>
      <c r="G19" s="55">
        <v>64365.74</v>
      </c>
    </row>
    <row r="20" spans="1:23" x14ac:dyDescent="0.25">
      <c r="A20" t="s">
        <v>11</v>
      </c>
      <c r="C20" s="32">
        <v>45657</v>
      </c>
      <c r="D20" t="s">
        <v>23</v>
      </c>
      <c r="E20" s="53">
        <v>0</v>
      </c>
      <c r="F20" s="53">
        <v>8782.5</v>
      </c>
      <c r="G20" s="53">
        <v>55583.24</v>
      </c>
    </row>
    <row r="21" spans="1:23" x14ac:dyDescent="0.25">
      <c r="A21" t="s">
        <v>11</v>
      </c>
      <c r="C21" s="32">
        <v>45657</v>
      </c>
      <c r="D21" t="s">
        <v>23</v>
      </c>
      <c r="E21" s="53">
        <v>0</v>
      </c>
      <c r="F21" s="53">
        <v>2450.9899999999998</v>
      </c>
      <c r="G21" s="53">
        <v>53132.25</v>
      </c>
    </row>
    <row r="22" spans="1:23" x14ac:dyDescent="0.25">
      <c r="A22" t="s">
        <v>11</v>
      </c>
      <c r="C22" s="32">
        <v>45657</v>
      </c>
      <c r="D22" t="s">
        <v>23</v>
      </c>
      <c r="E22" s="53">
        <v>0</v>
      </c>
      <c r="F22" s="53">
        <v>17228</v>
      </c>
      <c r="G22" s="53">
        <v>35904.25</v>
      </c>
    </row>
    <row r="23" spans="1:23" x14ac:dyDescent="0.25">
      <c r="A23" t="s">
        <v>11</v>
      </c>
      <c r="C23" s="32">
        <v>45657</v>
      </c>
      <c r="D23" t="s">
        <v>23</v>
      </c>
      <c r="E23" s="53">
        <v>0</v>
      </c>
      <c r="F23" s="53">
        <v>3488</v>
      </c>
      <c r="G23" s="53">
        <v>32416.25</v>
      </c>
    </row>
    <row r="24" spans="1:23" x14ac:dyDescent="0.25">
      <c r="A24" t="s">
        <v>11</v>
      </c>
      <c r="C24" s="32">
        <v>45657</v>
      </c>
      <c r="D24" t="s">
        <v>23</v>
      </c>
      <c r="E24" s="53">
        <v>0</v>
      </c>
      <c r="F24" s="53">
        <v>14436</v>
      </c>
      <c r="G24" s="53">
        <v>17980.25</v>
      </c>
      <c r="K24" t="s">
        <v>6</v>
      </c>
      <c r="L24" s="53" t="s">
        <v>7</v>
      </c>
      <c r="M24" s="53">
        <v>0</v>
      </c>
      <c r="P24" s="45">
        <v>44853</v>
      </c>
      <c r="Q24" s="46">
        <v>21915476</v>
      </c>
      <c r="R24" s="47" t="s">
        <v>81</v>
      </c>
      <c r="S24" s="48" t="s">
        <v>82</v>
      </c>
      <c r="T24" s="49" t="s">
        <v>83</v>
      </c>
      <c r="U24" s="50" t="s">
        <v>82</v>
      </c>
      <c r="V24" s="51"/>
      <c r="W24" s="48" t="s">
        <v>84</v>
      </c>
    </row>
    <row r="25" spans="1:23" ht="24" x14ac:dyDescent="0.25">
      <c r="A25" t="s">
        <v>11</v>
      </c>
      <c r="C25" s="32">
        <v>45657</v>
      </c>
      <c r="D25" t="s">
        <v>23</v>
      </c>
      <c r="E25" s="53">
        <v>0</v>
      </c>
      <c r="F25" s="53">
        <v>2149.25</v>
      </c>
      <c r="G25" s="53">
        <v>15831</v>
      </c>
      <c r="I25" s="32">
        <v>44936</v>
      </c>
      <c r="J25" t="s">
        <v>35</v>
      </c>
      <c r="K25">
        <v>0</v>
      </c>
      <c r="L25" s="53">
        <v>7013.7</v>
      </c>
      <c r="M25" s="53">
        <f>+M24+K25-L25</f>
        <v>-7013.7</v>
      </c>
      <c r="P25" s="45">
        <v>44914</v>
      </c>
      <c r="Q25" s="46">
        <v>21925590</v>
      </c>
      <c r="R25" s="47" t="s">
        <v>81</v>
      </c>
      <c r="S25" s="48" t="s">
        <v>85</v>
      </c>
      <c r="T25" s="49" t="s">
        <v>83</v>
      </c>
      <c r="U25" s="50" t="s">
        <v>85</v>
      </c>
      <c r="V25" s="51"/>
      <c r="W25" s="48" t="s">
        <v>86</v>
      </c>
    </row>
    <row r="26" spans="1:23" x14ac:dyDescent="0.25">
      <c r="A26" t="s">
        <v>11</v>
      </c>
      <c r="C26" s="32">
        <v>45657</v>
      </c>
      <c r="D26" t="s">
        <v>23</v>
      </c>
      <c r="E26" s="53">
        <v>0</v>
      </c>
      <c r="F26" s="53">
        <v>3524.25</v>
      </c>
      <c r="G26" s="53">
        <v>12306.75</v>
      </c>
      <c r="I26" s="32">
        <v>44951</v>
      </c>
      <c r="J26" t="s">
        <v>40</v>
      </c>
      <c r="K26">
        <v>7013.7</v>
      </c>
      <c r="L26" s="53">
        <v>0</v>
      </c>
      <c r="M26" s="53">
        <f>+M25+K26-L26</f>
        <v>0</v>
      </c>
      <c r="P26" s="45">
        <v>44952</v>
      </c>
      <c r="Q26" s="51"/>
      <c r="R26" s="47" t="s">
        <v>87</v>
      </c>
      <c r="S26" s="48" t="s">
        <v>82</v>
      </c>
      <c r="T26" s="49" t="s">
        <v>83</v>
      </c>
      <c r="U26" s="51"/>
      <c r="V26" s="52" t="s">
        <v>82</v>
      </c>
      <c r="W26" s="48" t="s">
        <v>88</v>
      </c>
    </row>
    <row r="27" spans="1:23" ht="24" x14ac:dyDescent="0.25">
      <c r="A27" t="s">
        <v>11</v>
      </c>
      <c r="C27" s="32">
        <v>45671</v>
      </c>
      <c r="D27" t="s">
        <v>35</v>
      </c>
      <c r="E27" s="53">
        <v>0</v>
      </c>
      <c r="F27" s="53">
        <v>4500</v>
      </c>
      <c r="G27" s="53">
        <v>7806.75</v>
      </c>
      <c r="I27" s="32">
        <v>44987</v>
      </c>
      <c r="J27" t="s">
        <v>16</v>
      </c>
      <c r="K27">
        <v>8381.4</v>
      </c>
      <c r="M27" s="53">
        <f t="shared" ref="M27:M40" si="0">+M26+K27-L27</f>
        <v>8381.4</v>
      </c>
      <c r="P27" s="45">
        <v>44978</v>
      </c>
      <c r="Q27" s="46">
        <v>21939264</v>
      </c>
      <c r="R27" s="47" t="s">
        <v>81</v>
      </c>
      <c r="S27" s="48" t="s">
        <v>89</v>
      </c>
      <c r="T27" s="49" t="s">
        <v>83</v>
      </c>
      <c r="U27" s="59">
        <v>22425.55</v>
      </c>
      <c r="V27" s="51"/>
      <c r="W27" s="48" t="s">
        <v>90</v>
      </c>
    </row>
    <row r="28" spans="1:23" ht="24" x14ac:dyDescent="0.25">
      <c r="A28" t="s">
        <v>11</v>
      </c>
      <c r="C28" s="33">
        <v>44936</v>
      </c>
      <c r="D28" s="34" t="s">
        <v>35</v>
      </c>
      <c r="E28" s="55">
        <v>0</v>
      </c>
      <c r="F28" s="55">
        <v>7013.7</v>
      </c>
      <c r="G28" s="55">
        <v>7013.7</v>
      </c>
      <c r="I28" s="32">
        <v>45009</v>
      </c>
      <c r="J28" t="s">
        <v>35</v>
      </c>
      <c r="K28">
        <v>0</v>
      </c>
      <c r="L28" s="53">
        <v>8381.4</v>
      </c>
      <c r="M28" s="53">
        <f t="shared" si="0"/>
        <v>0</v>
      </c>
      <c r="P28" s="45">
        <v>44987</v>
      </c>
      <c r="Q28" s="51"/>
      <c r="R28" s="47" t="s">
        <v>87</v>
      </c>
      <c r="S28" s="48" t="s">
        <v>85</v>
      </c>
      <c r="T28" s="49" t="s">
        <v>83</v>
      </c>
      <c r="U28" s="51"/>
      <c r="V28" s="52" t="s">
        <v>85</v>
      </c>
      <c r="W28" s="48" t="s">
        <v>91</v>
      </c>
    </row>
    <row r="29" spans="1:23" ht="24" x14ac:dyDescent="0.25">
      <c r="A29" t="s">
        <v>11</v>
      </c>
      <c r="C29" s="33">
        <v>44951</v>
      </c>
      <c r="D29" s="34" t="s">
        <v>40</v>
      </c>
      <c r="E29" s="55">
        <v>7013.7</v>
      </c>
      <c r="F29" s="55">
        <v>0</v>
      </c>
      <c r="G29" s="55">
        <v>0</v>
      </c>
      <c r="I29" s="32">
        <v>45022</v>
      </c>
      <c r="J29" t="s">
        <v>35</v>
      </c>
      <c r="K29">
        <v>0</v>
      </c>
      <c r="L29" s="53">
        <v>22425.75</v>
      </c>
      <c r="M29" s="53">
        <f t="shared" si="0"/>
        <v>-22425.75</v>
      </c>
      <c r="P29" s="45">
        <v>45019</v>
      </c>
      <c r="Q29" s="46">
        <v>21949104</v>
      </c>
      <c r="R29" s="47" t="s">
        <v>81</v>
      </c>
      <c r="S29" s="48" t="s">
        <v>92</v>
      </c>
      <c r="T29" s="49" t="s">
        <v>83</v>
      </c>
      <c r="U29" s="50">
        <v>1030.74</v>
      </c>
      <c r="V29" s="51"/>
      <c r="W29" s="48" t="s">
        <v>93</v>
      </c>
    </row>
    <row r="30" spans="1:23" ht="24" x14ac:dyDescent="0.25">
      <c r="A30" t="s">
        <v>11</v>
      </c>
      <c r="C30" s="33">
        <v>45009</v>
      </c>
      <c r="D30" s="34" t="s">
        <v>35</v>
      </c>
      <c r="E30" s="55">
        <v>0</v>
      </c>
      <c r="F30" s="55">
        <v>8381.4</v>
      </c>
      <c r="G30" s="55">
        <v>8381.4</v>
      </c>
      <c r="I30" s="32">
        <v>45080</v>
      </c>
      <c r="J30" t="s">
        <v>46</v>
      </c>
      <c r="K30" s="53">
        <v>12425.75</v>
      </c>
      <c r="M30" s="53">
        <f t="shared" si="0"/>
        <v>-10000</v>
      </c>
      <c r="P30" s="37">
        <v>45028</v>
      </c>
      <c r="Q30" s="38">
        <v>21950697</v>
      </c>
      <c r="R30" s="39" t="s">
        <v>81</v>
      </c>
      <c r="S30" s="40" t="s">
        <v>94</v>
      </c>
      <c r="T30" s="41" t="s">
        <v>83</v>
      </c>
      <c r="U30" s="42"/>
      <c r="V30" s="42"/>
      <c r="W30" s="40" t="s">
        <v>93</v>
      </c>
    </row>
    <row r="31" spans="1:23" ht="24" x14ac:dyDescent="0.25">
      <c r="A31" t="s">
        <v>11</v>
      </c>
      <c r="C31" s="33">
        <v>45022</v>
      </c>
      <c r="D31" s="34" t="s">
        <v>35</v>
      </c>
      <c r="E31" s="55">
        <v>0</v>
      </c>
      <c r="F31" s="55">
        <v>22425.75</v>
      </c>
      <c r="G31" s="55">
        <v>30807.15</v>
      </c>
      <c r="I31" s="32">
        <v>45135</v>
      </c>
      <c r="J31" t="s">
        <v>50</v>
      </c>
      <c r="K31" s="53">
        <v>12236.43</v>
      </c>
      <c r="M31" s="53">
        <f t="shared" si="0"/>
        <v>2236.4300000000003</v>
      </c>
      <c r="P31" s="45">
        <v>45060</v>
      </c>
      <c r="Q31" s="46">
        <v>21958266</v>
      </c>
      <c r="R31" s="47" t="s">
        <v>81</v>
      </c>
      <c r="S31" s="48" t="s">
        <v>95</v>
      </c>
      <c r="T31" s="49" t="s">
        <v>83</v>
      </c>
      <c r="U31" s="50">
        <v>1205.8900000000001</v>
      </c>
      <c r="V31" s="51"/>
      <c r="W31" s="48" t="s">
        <v>96</v>
      </c>
    </row>
    <row r="32" spans="1:23" ht="24" x14ac:dyDescent="0.25">
      <c r="A32" t="s">
        <v>11</v>
      </c>
      <c r="C32" s="56">
        <v>45065</v>
      </c>
      <c r="D32" s="57" t="s">
        <v>35</v>
      </c>
      <c r="E32" s="58">
        <v>0</v>
      </c>
      <c r="F32" s="58">
        <v>924</v>
      </c>
      <c r="G32" s="58">
        <v>31731.15</v>
      </c>
      <c r="I32" s="32">
        <v>45257</v>
      </c>
      <c r="J32" t="s">
        <v>18</v>
      </c>
      <c r="K32" s="53">
        <v>1169</v>
      </c>
      <c r="M32" s="53">
        <f t="shared" si="0"/>
        <v>3405.4300000000003</v>
      </c>
      <c r="P32" s="37">
        <v>45082</v>
      </c>
      <c r="Q32" s="42"/>
      <c r="R32" s="39" t="s">
        <v>87</v>
      </c>
      <c r="S32" s="40" t="s">
        <v>97</v>
      </c>
      <c r="T32" s="41" t="s">
        <v>83</v>
      </c>
      <c r="U32" s="42"/>
      <c r="V32" s="44">
        <v>12425.75</v>
      </c>
      <c r="W32" s="40" t="s">
        <v>98</v>
      </c>
    </row>
    <row r="33" spans="1:23" ht="24" x14ac:dyDescent="0.25">
      <c r="A33" t="s">
        <v>11</v>
      </c>
      <c r="C33" s="32">
        <v>45065</v>
      </c>
      <c r="D33" t="s">
        <v>44</v>
      </c>
      <c r="E33" s="53">
        <v>0</v>
      </c>
      <c r="F33" s="53">
        <v>106.74</v>
      </c>
      <c r="G33" s="53">
        <v>31837.89</v>
      </c>
      <c r="I33" s="32">
        <v>45257</v>
      </c>
      <c r="J33" t="s">
        <v>35</v>
      </c>
      <c r="K33" s="53">
        <v>0</v>
      </c>
      <c r="L33" s="53">
        <v>1169</v>
      </c>
      <c r="M33" s="53">
        <f t="shared" si="0"/>
        <v>2236.4300000000003</v>
      </c>
      <c r="P33" s="45">
        <v>45082</v>
      </c>
      <c r="Q33" s="46">
        <v>21962946</v>
      </c>
      <c r="R33" s="47" t="s">
        <v>81</v>
      </c>
      <c r="S33" s="48" t="s">
        <v>99</v>
      </c>
      <c r="T33" s="49" t="s">
        <v>83</v>
      </c>
      <c r="U33" s="50" t="s">
        <v>99</v>
      </c>
      <c r="V33" s="51"/>
      <c r="W33" s="48" t="s">
        <v>100</v>
      </c>
    </row>
    <row r="34" spans="1:23" ht="24" x14ac:dyDescent="0.25">
      <c r="A34" t="s">
        <v>11</v>
      </c>
      <c r="C34" s="33">
        <v>45080</v>
      </c>
      <c r="D34" s="34" t="s">
        <v>46</v>
      </c>
      <c r="E34" s="55">
        <v>12425.75</v>
      </c>
      <c r="F34" s="55">
        <v>0</v>
      </c>
      <c r="G34" s="55">
        <v>19412.14</v>
      </c>
      <c r="I34" s="32">
        <v>45405</v>
      </c>
      <c r="J34" t="s">
        <v>27</v>
      </c>
      <c r="K34" s="53">
        <v>14436</v>
      </c>
      <c r="M34" s="53">
        <f t="shared" si="0"/>
        <v>16672.43</v>
      </c>
      <c r="P34" s="37">
        <v>45138</v>
      </c>
      <c r="Q34" s="42"/>
      <c r="R34" s="39" t="s">
        <v>87</v>
      </c>
      <c r="S34" s="40" t="s">
        <v>101</v>
      </c>
      <c r="T34" s="41" t="s">
        <v>83</v>
      </c>
      <c r="U34" s="42"/>
      <c r="V34" s="44">
        <v>12236.43</v>
      </c>
      <c r="W34" s="40" t="s">
        <v>102</v>
      </c>
    </row>
    <row r="35" spans="1:23" ht="24" x14ac:dyDescent="0.25">
      <c r="A35" t="s">
        <v>11</v>
      </c>
      <c r="C35" s="32">
        <v>45089</v>
      </c>
      <c r="D35" t="s">
        <v>35</v>
      </c>
      <c r="E35" s="53">
        <v>0</v>
      </c>
      <c r="F35" s="53">
        <v>1205.8900000000001</v>
      </c>
      <c r="G35" s="53">
        <v>20618.03</v>
      </c>
      <c r="I35" s="32">
        <v>45404</v>
      </c>
      <c r="J35" t="s">
        <v>27</v>
      </c>
      <c r="K35" s="53">
        <v>3488</v>
      </c>
      <c r="M35" s="53">
        <f t="shared" si="0"/>
        <v>20160.43</v>
      </c>
      <c r="P35" s="45">
        <v>45204</v>
      </c>
      <c r="Q35" s="46">
        <v>21993760</v>
      </c>
      <c r="R35" s="47" t="s">
        <v>81</v>
      </c>
      <c r="S35" s="48" t="s">
        <v>103</v>
      </c>
      <c r="T35" s="49" t="s">
        <v>83</v>
      </c>
      <c r="U35" s="50" t="s">
        <v>103</v>
      </c>
      <c r="V35" s="51"/>
      <c r="W35" s="48" t="s">
        <v>104</v>
      </c>
    </row>
    <row r="36" spans="1:23" ht="24" x14ac:dyDescent="0.25">
      <c r="A36" t="s">
        <v>11</v>
      </c>
      <c r="C36" s="33">
        <v>45128</v>
      </c>
      <c r="D36" s="34" t="s">
        <v>35</v>
      </c>
      <c r="E36" s="55">
        <v>0</v>
      </c>
      <c r="F36" s="55">
        <v>13506</v>
      </c>
      <c r="G36" s="55">
        <v>34124.03</v>
      </c>
      <c r="I36" s="32">
        <v>45371</v>
      </c>
      <c r="J36" t="s">
        <v>25</v>
      </c>
      <c r="K36" s="53">
        <v>17228</v>
      </c>
      <c r="M36" s="53">
        <f t="shared" si="0"/>
        <v>37388.43</v>
      </c>
      <c r="P36" s="45">
        <v>45257</v>
      </c>
      <c r="Q36" s="51"/>
      <c r="R36" s="47" t="s">
        <v>87</v>
      </c>
      <c r="S36" s="48" t="s">
        <v>103</v>
      </c>
      <c r="T36" s="49" t="s">
        <v>83</v>
      </c>
      <c r="U36" s="51"/>
      <c r="V36" s="52" t="s">
        <v>103</v>
      </c>
      <c r="W36" s="48" t="s">
        <v>102</v>
      </c>
    </row>
    <row r="37" spans="1:23" x14ac:dyDescent="0.25">
      <c r="A37" t="s">
        <v>11</v>
      </c>
      <c r="C37" s="33">
        <v>45135</v>
      </c>
      <c r="D37" s="34" t="s">
        <v>50</v>
      </c>
      <c r="E37" s="55">
        <v>12236.43</v>
      </c>
      <c r="F37" s="55">
        <v>0</v>
      </c>
      <c r="G37" s="55">
        <v>21887.599999999999</v>
      </c>
      <c r="I37" s="32">
        <v>45565</v>
      </c>
      <c r="J37" t="s">
        <v>30</v>
      </c>
      <c r="K37" s="53">
        <v>14456</v>
      </c>
      <c r="M37" s="53">
        <f t="shared" si="0"/>
        <v>51844.43</v>
      </c>
      <c r="P37" s="45">
        <v>45266</v>
      </c>
      <c r="Q37" s="51"/>
      <c r="R37" s="47" t="s">
        <v>87</v>
      </c>
      <c r="S37" s="48" t="s">
        <v>99</v>
      </c>
      <c r="T37" s="49" t="s">
        <v>83</v>
      </c>
      <c r="U37" s="51"/>
      <c r="V37" s="52">
        <v>13506</v>
      </c>
      <c r="W37" s="48" t="s">
        <v>94</v>
      </c>
    </row>
    <row r="38" spans="1:23" x14ac:dyDescent="0.25">
      <c r="A38" t="s">
        <v>11</v>
      </c>
      <c r="C38" s="33">
        <v>45257</v>
      </c>
      <c r="D38" s="34" t="s">
        <v>35</v>
      </c>
      <c r="E38" s="55">
        <v>0</v>
      </c>
      <c r="F38" s="55">
        <v>1169</v>
      </c>
      <c r="G38" s="55">
        <v>23056.6</v>
      </c>
      <c r="I38" s="32">
        <v>45274</v>
      </c>
      <c r="J38" t="s">
        <v>20</v>
      </c>
      <c r="K38" s="53">
        <v>2450.9899999999998</v>
      </c>
      <c r="M38" s="53">
        <f t="shared" si="0"/>
        <v>54295.42</v>
      </c>
      <c r="P38" s="45">
        <v>45274</v>
      </c>
      <c r="Q38" s="46">
        <v>22015776</v>
      </c>
      <c r="R38" s="47" t="s">
        <v>81</v>
      </c>
      <c r="S38" s="48" t="s">
        <v>105</v>
      </c>
      <c r="T38" s="49" t="s">
        <v>83</v>
      </c>
      <c r="U38" s="50" t="s">
        <v>105</v>
      </c>
      <c r="V38" s="51"/>
      <c r="W38" s="48" t="s">
        <v>106</v>
      </c>
    </row>
    <row r="39" spans="1:23" x14ac:dyDescent="0.25">
      <c r="A39" t="s">
        <v>11</v>
      </c>
      <c r="C39" s="33">
        <v>45265</v>
      </c>
      <c r="D39" s="34" t="s">
        <v>53</v>
      </c>
      <c r="E39" s="55">
        <v>13506</v>
      </c>
      <c r="F39" s="55">
        <v>0</v>
      </c>
      <c r="G39" s="55">
        <v>9550.6</v>
      </c>
      <c r="I39" s="32">
        <v>45265</v>
      </c>
      <c r="J39" t="s">
        <v>53</v>
      </c>
      <c r="K39" s="53">
        <v>13506</v>
      </c>
      <c r="M39" s="53">
        <f t="shared" si="0"/>
        <v>67801.42</v>
      </c>
      <c r="P39" s="37">
        <v>45274</v>
      </c>
      <c r="Q39" s="42"/>
      <c r="R39" s="39" t="s">
        <v>87</v>
      </c>
      <c r="S39" s="40" t="s">
        <v>105</v>
      </c>
      <c r="T39" s="41" t="s">
        <v>83</v>
      </c>
      <c r="U39" s="42"/>
      <c r="V39" s="44">
        <v>2450.9899999999998</v>
      </c>
      <c r="W39" s="40" t="s">
        <v>94</v>
      </c>
    </row>
    <row r="40" spans="1:23" ht="24" x14ac:dyDescent="0.25">
      <c r="A40" t="s">
        <v>11</v>
      </c>
      <c r="C40" s="32">
        <v>45291</v>
      </c>
      <c r="D40" t="s">
        <v>23</v>
      </c>
      <c r="E40" s="53">
        <v>8381.4</v>
      </c>
      <c r="F40" s="53">
        <v>0</v>
      </c>
      <c r="G40" s="53">
        <v>1169.2</v>
      </c>
      <c r="I40" s="32">
        <v>45128</v>
      </c>
      <c r="J40" t="s">
        <v>35</v>
      </c>
      <c r="K40" s="53">
        <v>0</v>
      </c>
      <c r="L40" s="53">
        <v>13506</v>
      </c>
      <c r="M40" s="53">
        <f t="shared" si="0"/>
        <v>54295.42</v>
      </c>
      <c r="P40" s="45">
        <v>45279</v>
      </c>
      <c r="Q40" s="46">
        <v>22016927</v>
      </c>
      <c r="R40" s="47" t="s">
        <v>81</v>
      </c>
      <c r="S40" s="48" t="s">
        <v>107</v>
      </c>
      <c r="T40" s="49" t="s">
        <v>83</v>
      </c>
      <c r="U40" s="50" t="s">
        <v>107</v>
      </c>
      <c r="V40" s="51"/>
      <c r="W40" s="48" t="s">
        <v>108</v>
      </c>
    </row>
    <row r="41" spans="1:23" x14ac:dyDescent="0.25">
      <c r="A41" t="s">
        <v>11</v>
      </c>
      <c r="C41" s="32">
        <v>45291</v>
      </c>
      <c r="D41" t="s">
        <v>23</v>
      </c>
      <c r="E41" s="53">
        <v>0.2</v>
      </c>
      <c r="F41" s="53">
        <v>0</v>
      </c>
      <c r="G41" s="53">
        <v>1169</v>
      </c>
      <c r="P41" s="37">
        <v>45372</v>
      </c>
      <c r="Q41" s="42"/>
      <c r="R41" s="39" t="s">
        <v>87</v>
      </c>
      <c r="S41" s="40" t="s">
        <v>107</v>
      </c>
      <c r="T41" s="41" t="s">
        <v>83</v>
      </c>
      <c r="U41" s="42"/>
      <c r="V41" s="44">
        <v>17228</v>
      </c>
      <c r="W41" s="40" t="s">
        <v>94</v>
      </c>
    </row>
    <row r="42" spans="1:23" ht="24" x14ac:dyDescent="0.25">
      <c r="A42" t="s">
        <v>11</v>
      </c>
      <c r="C42" s="32">
        <v>45291</v>
      </c>
      <c r="D42" t="s">
        <v>23</v>
      </c>
      <c r="E42" s="53">
        <v>1169</v>
      </c>
      <c r="F42" s="53">
        <v>0</v>
      </c>
      <c r="G42" s="53">
        <v>0</v>
      </c>
      <c r="P42" s="45">
        <v>45406</v>
      </c>
      <c r="Q42" s="46">
        <v>22058091</v>
      </c>
      <c r="R42" s="47" t="s">
        <v>81</v>
      </c>
      <c r="S42" s="48" t="s">
        <v>109</v>
      </c>
      <c r="T42" s="49" t="s">
        <v>83</v>
      </c>
      <c r="U42" s="50" t="s">
        <v>109</v>
      </c>
      <c r="V42" s="51"/>
      <c r="W42" s="48" t="s">
        <v>110</v>
      </c>
    </row>
    <row r="43" spans="1:23" ht="24" x14ac:dyDescent="0.25">
      <c r="A43" t="s">
        <v>11</v>
      </c>
      <c r="C43" s="32">
        <v>45306</v>
      </c>
      <c r="D43" t="s">
        <v>35</v>
      </c>
      <c r="E43" s="53">
        <v>0</v>
      </c>
      <c r="F43" s="53">
        <v>2148</v>
      </c>
      <c r="G43" s="53">
        <v>2148</v>
      </c>
      <c r="P43" s="45">
        <v>45406</v>
      </c>
      <c r="Q43" s="46">
        <v>22058094</v>
      </c>
      <c r="R43" s="47" t="s">
        <v>81</v>
      </c>
      <c r="S43" s="48" t="s">
        <v>111</v>
      </c>
      <c r="T43" s="49" t="s">
        <v>83</v>
      </c>
      <c r="U43" s="50" t="s">
        <v>111</v>
      </c>
      <c r="V43" s="51"/>
      <c r="W43" s="48" t="s">
        <v>112</v>
      </c>
    </row>
    <row r="44" spans="1:23" x14ac:dyDescent="0.25">
      <c r="A44" t="s">
        <v>11</v>
      </c>
      <c r="C44" s="32">
        <v>45306</v>
      </c>
      <c r="D44" t="s">
        <v>54</v>
      </c>
      <c r="E44" s="53">
        <v>0</v>
      </c>
      <c r="F44" s="53">
        <v>302.99</v>
      </c>
      <c r="G44" s="53">
        <v>2450.9899999999998</v>
      </c>
      <c r="P44" s="37">
        <v>45406</v>
      </c>
      <c r="Q44" s="42"/>
      <c r="R44" s="39" t="s">
        <v>87</v>
      </c>
      <c r="S44" s="40" t="s">
        <v>109</v>
      </c>
      <c r="T44" s="41" t="s">
        <v>83</v>
      </c>
      <c r="U44" s="42"/>
      <c r="V44" s="44">
        <v>14436</v>
      </c>
      <c r="W44" s="40" t="s">
        <v>113</v>
      </c>
    </row>
    <row r="45" spans="1:23" x14ac:dyDescent="0.25">
      <c r="A45" t="s">
        <v>11</v>
      </c>
      <c r="C45" s="32">
        <v>45419</v>
      </c>
      <c r="D45" t="s">
        <v>35</v>
      </c>
      <c r="E45" s="53">
        <v>0</v>
      </c>
      <c r="F45" s="53">
        <v>3306</v>
      </c>
      <c r="G45" s="53">
        <v>5756.99</v>
      </c>
      <c r="P45" s="37">
        <v>45404</v>
      </c>
      <c r="Q45" s="42"/>
      <c r="R45" s="39" t="s">
        <v>87</v>
      </c>
      <c r="S45" s="40" t="s">
        <v>111</v>
      </c>
      <c r="T45" s="41" t="s">
        <v>83</v>
      </c>
      <c r="U45" s="42"/>
      <c r="V45" s="44">
        <v>3488</v>
      </c>
      <c r="W45" s="40" t="s">
        <v>94</v>
      </c>
    </row>
    <row r="46" spans="1:23" x14ac:dyDescent="0.25">
      <c r="A46" t="s">
        <v>11</v>
      </c>
      <c r="C46" s="32">
        <v>45427</v>
      </c>
      <c r="D46" t="s">
        <v>35</v>
      </c>
      <c r="E46" s="53">
        <v>0</v>
      </c>
      <c r="F46" s="53">
        <v>11088</v>
      </c>
      <c r="G46" s="53">
        <v>16844.990000000002</v>
      </c>
      <c r="P46" s="45">
        <v>45565</v>
      </c>
      <c r="Q46" s="46">
        <v>22102863</v>
      </c>
      <c r="R46" s="47" t="s">
        <v>81</v>
      </c>
      <c r="S46" s="48" t="s">
        <v>114</v>
      </c>
      <c r="T46" s="49" t="s">
        <v>83</v>
      </c>
      <c r="U46" s="50" t="s">
        <v>114</v>
      </c>
      <c r="V46" s="51"/>
      <c r="W46" s="48" t="s">
        <v>115</v>
      </c>
    </row>
    <row r="47" spans="1:23" ht="24" x14ac:dyDescent="0.25">
      <c r="A47" t="s">
        <v>11</v>
      </c>
      <c r="C47" s="32">
        <v>45427</v>
      </c>
      <c r="D47" t="s">
        <v>35</v>
      </c>
      <c r="E47" s="53">
        <v>0</v>
      </c>
      <c r="F47" s="53">
        <v>0</v>
      </c>
      <c r="G47" s="53">
        <v>16844.990000000002</v>
      </c>
      <c r="P47" s="45">
        <v>45565</v>
      </c>
      <c r="Q47" s="46">
        <v>22102867</v>
      </c>
      <c r="R47" s="47" t="s">
        <v>81</v>
      </c>
      <c r="S47" s="48" t="s">
        <v>116</v>
      </c>
      <c r="T47" s="49" t="s">
        <v>83</v>
      </c>
      <c r="U47" s="50" t="s">
        <v>116</v>
      </c>
      <c r="V47" s="51"/>
      <c r="W47" s="48" t="s">
        <v>117</v>
      </c>
    </row>
    <row r="48" spans="1:23" x14ac:dyDescent="0.25">
      <c r="A48" t="s">
        <v>11</v>
      </c>
      <c r="C48" s="32">
        <v>45427</v>
      </c>
      <c r="D48" t="s">
        <v>59</v>
      </c>
      <c r="E48" s="53">
        <v>0</v>
      </c>
      <c r="F48" s="53">
        <v>6140</v>
      </c>
      <c r="G48" s="53">
        <v>22984.99</v>
      </c>
      <c r="P48" s="37">
        <v>45566</v>
      </c>
      <c r="Q48" s="42"/>
      <c r="R48" s="39" t="s">
        <v>87</v>
      </c>
      <c r="S48" s="40" t="s">
        <v>118</v>
      </c>
      <c r="T48" s="41" t="s">
        <v>83</v>
      </c>
      <c r="U48" s="42"/>
      <c r="V48" s="44">
        <v>14456</v>
      </c>
      <c r="W48" s="40" t="s">
        <v>94</v>
      </c>
    </row>
    <row r="49" spans="1:23" x14ac:dyDescent="0.25">
      <c r="A49" t="s">
        <v>11</v>
      </c>
      <c r="C49" s="32">
        <v>45467</v>
      </c>
      <c r="D49" t="s">
        <v>35</v>
      </c>
      <c r="E49" s="53">
        <v>0</v>
      </c>
      <c r="F49" s="53">
        <v>6136</v>
      </c>
      <c r="G49" s="53">
        <v>29120.99</v>
      </c>
      <c r="P49" s="37">
        <v>45826</v>
      </c>
      <c r="Q49" s="38">
        <v>22179666</v>
      </c>
      <c r="R49" s="39" t="s">
        <v>81</v>
      </c>
      <c r="S49" s="40" t="s">
        <v>119</v>
      </c>
      <c r="T49" s="41" t="s">
        <v>83</v>
      </c>
      <c r="U49" s="43" t="s">
        <v>119</v>
      </c>
      <c r="V49" s="42"/>
      <c r="W49" s="40" t="s">
        <v>120</v>
      </c>
    </row>
    <row r="50" spans="1:23" x14ac:dyDescent="0.25">
      <c r="A50" t="s">
        <v>11</v>
      </c>
      <c r="C50" s="32">
        <v>45467</v>
      </c>
      <c r="D50" t="s">
        <v>59</v>
      </c>
      <c r="E50" s="53">
        <v>0</v>
      </c>
      <c r="F50" s="53">
        <v>4500</v>
      </c>
      <c r="G50" s="53">
        <v>33620.99</v>
      </c>
      <c r="P50" s="37">
        <v>45825</v>
      </c>
      <c r="Q50" s="42"/>
      <c r="R50" s="39" t="s">
        <v>87</v>
      </c>
      <c r="S50" s="40" t="s">
        <v>119</v>
      </c>
      <c r="T50" s="41" t="s">
        <v>83</v>
      </c>
      <c r="U50" s="42"/>
      <c r="V50" s="44" t="s">
        <v>119</v>
      </c>
      <c r="W50" s="40" t="s">
        <v>94</v>
      </c>
    </row>
    <row r="51" spans="1:23" x14ac:dyDescent="0.25">
      <c r="A51" t="s">
        <v>11</v>
      </c>
      <c r="C51" s="32">
        <v>45467</v>
      </c>
      <c r="D51" t="s">
        <v>35</v>
      </c>
      <c r="E51" s="53">
        <v>0</v>
      </c>
      <c r="F51" s="53">
        <v>3800</v>
      </c>
      <c r="G51" s="53">
        <v>37420.99</v>
      </c>
    </row>
    <row r="52" spans="1:23" x14ac:dyDescent="0.25">
      <c r="A52" t="s">
        <v>11</v>
      </c>
      <c r="C52" s="32">
        <v>45499</v>
      </c>
      <c r="D52" t="s">
        <v>64</v>
      </c>
      <c r="E52" s="53">
        <v>0</v>
      </c>
      <c r="F52" s="53">
        <v>0</v>
      </c>
      <c r="G52" s="53">
        <v>37420.99</v>
      </c>
    </row>
    <row r="53" spans="1:23" x14ac:dyDescent="0.25">
      <c r="A53" t="s">
        <v>11</v>
      </c>
      <c r="C53" s="32">
        <v>45523</v>
      </c>
      <c r="D53" t="s">
        <v>35</v>
      </c>
      <c r="E53" s="53">
        <v>0</v>
      </c>
      <c r="F53" s="53">
        <v>182</v>
      </c>
      <c r="G53" s="53">
        <v>37602.99</v>
      </c>
    </row>
    <row r="54" spans="1:23" x14ac:dyDescent="0.25">
      <c r="A54" t="s">
        <v>11</v>
      </c>
      <c r="C54" s="32">
        <v>45581</v>
      </c>
      <c r="D54" t="s">
        <v>35</v>
      </c>
      <c r="E54" s="53">
        <v>0</v>
      </c>
      <c r="F54" s="53">
        <v>1214</v>
      </c>
      <c r="G54" s="53">
        <v>38816.99</v>
      </c>
    </row>
    <row r="55" spans="1:23" x14ac:dyDescent="0.25">
      <c r="A55" t="s">
        <v>11</v>
      </c>
      <c r="C55" s="32">
        <v>45617</v>
      </c>
      <c r="D55" t="s">
        <v>35</v>
      </c>
      <c r="E55" s="53">
        <v>0</v>
      </c>
      <c r="F55" s="53">
        <v>13242</v>
      </c>
      <c r="G55" s="53">
        <v>52058.99</v>
      </c>
    </row>
    <row r="56" spans="1:23" x14ac:dyDescent="0.25">
      <c r="A56" t="s">
        <v>11</v>
      </c>
      <c r="C56" s="32">
        <v>45657</v>
      </c>
      <c r="D56" t="s">
        <v>23</v>
      </c>
      <c r="E56" s="53">
        <v>3306</v>
      </c>
      <c r="F56" s="53">
        <v>0</v>
      </c>
      <c r="G56" s="53">
        <v>48752.99</v>
      </c>
    </row>
    <row r="57" spans="1:23" x14ac:dyDescent="0.25">
      <c r="A57" t="s">
        <v>11</v>
      </c>
      <c r="C57" s="32">
        <v>45657</v>
      </c>
      <c r="D57" t="s">
        <v>23</v>
      </c>
      <c r="E57" s="53">
        <v>6140</v>
      </c>
      <c r="F57" s="53">
        <v>0</v>
      </c>
      <c r="G57" s="53">
        <v>42612.99</v>
      </c>
    </row>
    <row r="58" spans="1:23" x14ac:dyDescent="0.25">
      <c r="A58" t="s">
        <v>11</v>
      </c>
      <c r="C58" s="32">
        <v>45657</v>
      </c>
      <c r="D58" t="s">
        <v>23</v>
      </c>
      <c r="E58" s="53">
        <v>11088</v>
      </c>
      <c r="F58" s="53">
        <v>0</v>
      </c>
      <c r="G58" s="53">
        <v>31524.99</v>
      </c>
    </row>
    <row r="59" spans="1:23" x14ac:dyDescent="0.25">
      <c r="A59" t="s">
        <v>11</v>
      </c>
      <c r="C59" s="32">
        <v>45657</v>
      </c>
      <c r="D59" t="s">
        <v>23</v>
      </c>
      <c r="E59" s="53">
        <v>6136</v>
      </c>
      <c r="F59" s="53">
        <v>0</v>
      </c>
      <c r="G59" s="53">
        <v>25388.99</v>
      </c>
    </row>
    <row r="60" spans="1:23" x14ac:dyDescent="0.25">
      <c r="A60" t="s">
        <v>11</v>
      </c>
      <c r="C60" s="32">
        <v>45657</v>
      </c>
      <c r="D60" t="s">
        <v>23</v>
      </c>
      <c r="E60" s="53">
        <v>4500</v>
      </c>
      <c r="F60" s="53">
        <v>0</v>
      </c>
      <c r="G60" s="53">
        <v>20888.990000000002</v>
      </c>
    </row>
    <row r="61" spans="1:23" x14ac:dyDescent="0.25">
      <c r="A61" t="s">
        <v>11</v>
      </c>
      <c r="C61" s="32">
        <v>45657</v>
      </c>
      <c r="D61" t="s">
        <v>23</v>
      </c>
      <c r="E61" s="53">
        <v>182</v>
      </c>
      <c r="F61" s="53">
        <v>0</v>
      </c>
      <c r="G61" s="53">
        <v>20706.990000000002</v>
      </c>
    </row>
    <row r="62" spans="1:23" x14ac:dyDescent="0.25">
      <c r="A62" t="s">
        <v>11</v>
      </c>
      <c r="C62" s="32">
        <v>45657</v>
      </c>
      <c r="D62" t="s">
        <v>23</v>
      </c>
      <c r="E62" s="53">
        <v>1214</v>
      </c>
      <c r="F62" s="53">
        <v>0</v>
      </c>
      <c r="G62" s="53">
        <v>19492.990000000002</v>
      </c>
    </row>
    <row r="63" spans="1:23" x14ac:dyDescent="0.25">
      <c r="A63" t="s">
        <v>11</v>
      </c>
      <c r="C63" s="32">
        <v>45657</v>
      </c>
      <c r="D63" t="s">
        <v>23</v>
      </c>
      <c r="E63" s="53">
        <v>3800</v>
      </c>
      <c r="F63" s="53">
        <v>0</v>
      </c>
      <c r="G63" s="53">
        <v>15692.99</v>
      </c>
    </row>
    <row r="64" spans="1:23" x14ac:dyDescent="0.25">
      <c r="A64" t="s">
        <v>11</v>
      </c>
      <c r="C64" s="32">
        <v>45657</v>
      </c>
      <c r="D64" t="s">
        <v>23</v>
      </c>
      <c r="E64" s="53">
        <v>13242</v>
      </c>
      <c r="F64" s="53">
        <v>0</v>
      </c>
      <c r="G64" s="53">
        <v>2450.9899999999998</v>
      </c>
    </row>
    <row r="65" spans="1:7" x14ac:dyDescent="0.25">
      <c r="A65" t="s">
        <v>11</v>
      </c>
      <c r="C65" s="32">
        <v>45657</v>
      </c>
      <c r="D65" t="s">
        <v>23</v>
      </c>
      <c r="E65" s="53">
        <v>2148</v>
      </c>
      <c r="F65" s="53">
        <v>0</v>
      </c>
      <c r="G65" s="53">
        <v>302.99</v>
      </c>
    </row>
    <row r="66" spans="1:7" x14ac:dyDescent="0.25">
      <c r="A66" t="s">
        <v>11</v>
      </c>
      <c r="C66" s="32">
        <v>45657</v>
      </c>
      <c r="D66" t="s">
        <v>23</v>
      </c>
      <c r="E66" s="53">
        <v>302.99</v>
      </c>
      <c r="F66" s="53">
        <v>0</v>
      </c>
      <c r="G66" s="53">
        <v>0</v>
      </c>
    </row>
    <row r="67" spans="1:7" x14ac:dyDescent="0.25">
      <c r="A67" t="s">
        <v>11</v>
      </c>
      <c r="C67" s="32">
        <v>0</v>
      </c>
      <c r="D67">
        <v>0</v>
      </c>
      <c r="E67" s="53">
        <v>106791.47</v>
      </c>
      <c r="F67" s="53">
        <v>106791.47</v>
      </c>
      <c r="G67" s="53">
        <v>0</v>
      </c>
    </row>
    <row r="68" spans="1:7" x14ac:dyDescent="0.25">
      <c r="A68" t="s">
        <v>11</v>
      </c>
    </row>
  </sheetData>
  <autoFilter ref="A6:W68" xr:uid="{306BB90D-1E23-4AF4-BDD6-430403C98C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Бат-Эрдэнэ Ууганбаяр</cp:lastModifiedBy>
  <dcterms:created xsi:type="dcterms:W3CDTF">2025-06-23T11:46:11Z</dcterms:created>
  <dcterms:modified xsi:type="dcterms:W3CDTF">2025-06-23T13:01:56Z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