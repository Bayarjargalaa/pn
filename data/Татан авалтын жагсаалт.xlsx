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Dell\Downloads\PN тооцоо\data\"/>
    </mc:Choice>
  </mc:AlternateContent>
  <xr:revisionPtr revIDLastSave="0" documentId="13_ncr:1_{29EFF4C1-F090-47EF-82F5-5A81D689483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" sheetId="1" r:id="rId1"/>
    <sheet name="Sheet2" sheetId="3" r:id="rId2"/>
    <sheet name="Sheet1" sheetId="5" r:id="rId3"/>
    <sheet name="Sheet3" sheetId="4" r:id="rId4"/>
  </sheets>
  <definedNames>
    <definedName name="_xlnm._FilterDatabase" localSheetId="1" hidden="1">Sheet2!$A$1:$J$67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3" i="4"/>
</calcChain>
</file>

<file path=xl/sharedStrings.xml><?xml version="1.0" encoding="utf-8"?>
<sst xmlns="http://schemas.openxmlformats.org/spreadsheetml/2006/main" count="682" uniqueCount="191">
  <si>
    <t>Повернутрэйшн ХХК</t>
  </si>
  <si>
    <t>№</t>
  </si>
  <si>
    <t>Огноо</t>
  </si>
  <si>
    <t>Гүйлгээний утга</t>
  </si>
  <si>
    <t>Бэлтгэн нийлүүлэгч</t>
  </si>
  <si>
    <t>Байршил</t>
  </si>
  <si>
    <t>Валют</t>
  </si>
  <si>
    <t>Барааны дүн ₮</t>
  </si>
  <si>
    <t>Барааны дүн $</t>
  </si>
  <si>
    <t>Гаалийн дүн</t>
  </si>
  <si>
    <t>НӨАТ</t>
  </si>
  <si>
    <t>Нийт зардал</t>
  </si>
  <si>
    <t>Нийт дүн</t>
  </si>
  <si>
    <t>ТА100019</t>
  </si>
  <si>
    <t>Татан авалт</t>
  </si>
  <si>
    <t>AllStars</t>
  </si>
  <si>
    <t>3</t>
  </si>
  <si>
    <t>EUR</t>
  </si>
  <si>
    <t>ТА100020</t>
  </si>
  <si>
    <t>Shaker store</t>
  </si>
  <si>
    <t>ТА100018</t>
  </si>
  <si>
    <t>Bedeco</t>
  </si>
  <si>
    <t>ТА100011</t>
  </si>
  <si>
    <t>ТА100010</t>
  </si>
  <si>
    <t>BioTechUSA</t>
  </si>
  <si>
    <t>ТА100026</t>
  </si>
  <si>
    <t>Nano Supps</t>
  </si>
  <si>
    <t>ТА100013</t>
  </si>
  <si>
    <t>Club Mate</t>
  </si>
  <si>
    <t>ТА100027</t>
  </si>
  <si>
    <t>ТА100033</t>
  </si>
  <si>
    <t>ТА100016</t>
  </si>
  <si>
    <t>ТА100031</t>
  </si>
  <si>
    <t>Next Level Food</t>
  </si>
  <si>
    <t>ТА100032</t>
  </si>
  <si>
    <t>ТА100028</t>
  </si>
  <si>
    <t>ТА100029</t>
  </si>
  <si>
    <t>ТА100030</t>
  </si>
  <si>
    <t>ТА100004</t>
  </si>
  <si>
    <t>ТА100005</t>
  </si>
  <si>
    <t>ТА100006</t>
  </si>
  <si>
    <t>ТА100014</t>
  </si>
  <si>
    <t>ТА140005</t>
  </si>
  <si>
    <t>ТА100002</t>
  </si>
  <si>
    <t>ТА140006</t>
  </si>
  <si>
    <t>ТА140007</t>
  </si>
  <si>
    <t>ТА140001</t>
  </si>
  <si>
    <t>ТА140004</t>
  </si>
  <si>
    <t>ТА140003</t>
  </si>
  <si>
    <t>ТА140009</t>
  </si>
  <si>
    <t>ТА140010</t>
  </si>
  <si>
    <t>ТА140011</t>
  </si>
  <si>
    <t>Татан авалт /дутуу/</t>
  </si>
  <si>
    <t>7</t>
  </si>
  <si>
    <t>ТА140012</t>
  </si>
  <si>
    <t>ТА140013</t>
  </si>
  <si>
    <t>ТА140027</t>
  </si>
  <si>
    <t>ТА140008</t>
  </si>
  <si>
    <t>ТА140014</t>
  </si>
  <si>
    <t>ТА140030</t>
  </si>
  <si>
    <t>ТА140015</t>
  </si>
  <si>
    <t>ТА140016</t>
  </si>
  <si>
    <t>ТА140033</t>
  </si>
  <si>
    <t>Устгалд оруулах барааны татан авалт</t>
  </si>
  <si>
    <t>ТА140019</t>
  </si>
  <si>
    <t>ТА140031</t>
  </si>
  <si>
    <t>ТА140018</t>
  </si>
  <si>
    <t>ТА140021</t>
  </si>
  <si>
    <t>ТА140022</t>
  </si>
  <si>
    <t>ТА140023</t>
  </si>
  <si>
    <t>ТА140024</t>
  </si>
  <si>
    <t>ТА140026</t>
  </si>
  <si>
    <t>ТА140025</t>
  </si>
  <si>
    <t>ТА100001</t>
  </si>
  <si>
    <t>татан авалт</t>
  </si>
  <si>
    <t>ТА100003</t>
  </si>
  <si>
    <t>02-2091010-24-I30273</t>
  </si>
  <si>
    <t>02-2091010-24-I30274</t>
  </si>
  <si>
    <t>Мэдүүлгийн дугаар</t>
  </si>
  <si>
    <t>Горимын код</t>
  </si>
  <si>
    <t>Хүлээн авагч. Илгээгч</t>
  </si>
  <si>
    <t>Барааны байршил</t>
  </si>
  <si>
    <t>Барааны тоо</t>
  </si>
  <si>
    <t>Статистик дүн(USD)</t>
  </si>
  <si>
    <t>Татварын дүн(MNT)</t>
  </si>
  <si>
    <t>Повернутрэйшн - Gorliv Production Kft</t>
  </si>
  <si>
    <t>Монгол Экспресс ХХК</t>
  </si>
  <si>
    <t>Монгол экспресс</t>
  </si>
  <si>
    <t>02-2091010-24-I30639</t>
  </si>
  <si>
    <t>Повернутрэйшн - Gorliv Production Kft I Hu</t>
  </si>
  <si>
    <t>02-2091010-24-I32266</t>
  </si>
  <si>
    <t>02-2091010-24-I32989</t>
  </si>
  <si>
    <t>Повернутрэйшн - BioTechUSA kft</t>
  </si>
  <si>
    <t>02-2091010-24-I33125</t>
  </si>
  <si>
    <t>Повернутрэйшн - Corliv Group</t>
  </si>
  <si>
    <t>02-2091010-24-I33185</t>
  </si>
  <si>
    <t>02-2091010-24-I33443</t>
  </si>
  <si>
    <t>Повернутрэйшн - Nanosupps Kft</t>
  </si>
  <si>
    <t>02-2091010-24-I33809</t>
  </si>
  <si>
    <t>02-2091015-23-I30700</t>
  </si>
  <si>
    <t>Повернутрэйшн - Club-Mate International GmbH</t>
  </si>
  <si>
    <t>Прогресс транс</t>
  </si>
  <si>
    <t>02-2091015-23-I30701</t>
  </si>
  <si>
    <t>02-2091015-23-I30702</t>
  </si>
  <si>
    <t>02-2091015-23-I30711</t>
  </si>
  <si>
    <t>Повернутрэйшн - All stars fitness products GmbH</t>
  </si>
  <si>
    <t>02-2091015-23-I31357</t>
  </si>
  <si>
    <t>Повернутрэйшн - Bedeco Kft</t>
  </si>
  <si>
    <t>02-2091015-23-I31358</t>
  </si>
  <si>
    <t>02-2091015-23-I31359</t>
  </si>
  <si>
    <t>02-2091015-23-I31360</t>
  </si>
  <si>
    <t>02-2091015-23-I31378</t>
  </si>
  <si>
    <t>Туушин ГБА</t>
  </si>
  <si>
    <t>02-2091015-23-I31403</t>
  </si>
  <si>
    <t>Повернутрэйшн - Next Level Foods Kft</t>
  </si>
  <si>
    <t>02-2091015-23-I32351</t>
  </si>
  <si>
    <t>АБТЭМА</t>
  </si>
  <si>
    <t>02-2091015-23-I32352</t>
  </si>
  <si>
    <t>02-2091015-23-I32353</t>
  </si>
  <si>
    <t>02-2091015-24-I31944</t>
  </si>
  <si>
    <t>02-2091015-24-I31945</t>
  </si>
  <si>
    <t>02-2091015-24-I31946</t>
  </si>
  <si>
    <t>02-2091015-25-I00142</t>
  </si>
  <si>
    <t>02-2091018-24-I31854</t>
  </si>
  <si>
    <t>Повернутрэйшн - ALL STARS Fitness Products GmbH</t>
  </si>
  <si>
    <t>Техник импорт</t>
  </si>
  <si>
    <t>02-2091018-24-I31855</t>
  </si>
  <si>
    <t>02-2091018-25-I00403</t>
  </si>
  <si>
    <t>Повернутрэйшн - BioTechUSA Kft.</t>
  </si>
  <si>
    <t>02-2091018-25-I00493</t>
  </si>
  <si>
    <t>Повернутрэйшн - Corliv production korlatolt felelossegu tarsasag</t>
  </si>
  <si>
    <t>02-2141007-24-I31709</t>
  </si>
  <si>
    <t>Техник Импорт ХК</t>
  </si>
  <si>
    <t>02-2141007-24-I34053</t>
  </si>
  <si>
    <t>Повернутрэйшн - Bio Tech usa kft</t>
  </si>
  <si>
    <t>02-2141007-24-I34062</t>
  </si>
  <si>
    <t>02-2141007-24-I34188</t>
  </si>
  <si>
    <t>02-2141007-24-I34189</t>
  </si>
  <si>
    <t>02-2141007-24-I34454</t>
  </si>
  <si>
    <t>02-2151008-24-I33724</t>
  </si>
  <si>
    <t>Повернутрэйшн - All Star Fitness Products GmbH</t>
  </si>
  <si>
    <t>Интердисижн ХХК</t>
  </si>
  <si>
    <t>02-2151008-24-I33727</t>
  </si>
  <si>
    <t>02-2151008-24-I33729</t>
  </si>
  <si>
    <t>Повернутрэйшн - All Stars Fitness Products GmbH</t>
  </si>
  <si>
    <t>02-2151008-24-I33791</t>
  </si>
  <si>
    <t>02-2151008-24-I33792</t>
  </si>
  <si>
    <t>04-2141002-23-I30170</t>
  </si>
  <si>
    <t>Повернутрэйшн - Biotech USA Kft</t>
  </si>
  <si>
    <t>Видү ГХБ</t>
  </si>
  <si>
    <t>04-2141002-23-I30172</t>
  </si>
  <si>
    <t>Повернутрэйшн - All stars Fitness products GmbH</t>
  </si>
  <si>
    <t>04-2141002-23-I30173</t>
  </si>
  <si>
    <t>04-2141002-23-I30386</t>
  </si>
  <si>
    <t>Повернутрэйшн - Club Mate international GmbH</t>
  </si>
  <si>
    <t>05-2091018-24-I30098</t>
  </si>
  <si>
    <t>Повернутрэйшн - Bio Tech USA Kft</t>
  </si>
  <si>
    <t>Чингис хаан олон улсын нисэх буудлын карго терминал</t>
  </si>
  <si>
    <t>05-2091018-24-I30270</t>
  </si>
  <si>
    <t>Повернутрэйшн - Corliv Production KFT</t>
  </si>
  <si>
    <t>05-2091018-24-I30271</t>
  </si>
  <si>
    <t>05-2091018-24-I30272</t>
  </si>
  <si>
    <t>05-2091018-24-I30288</t>
  </si>
  <si>
    <t>Повернутрэйшн - All stars Fitness Products GmbH</t>
  </si>
  <si>
    <t>05-2091018-24-I30289</t>
  </si>
  <si>
    <t>05-2091018-24-I30290</t>
  </si>
  <si>
    <t>Нью Улаанбаатар Интернэйшнл Эйрпорт ХХК</t>
  </si>
  <si>
    <t>05-2091018-24-I30399</t>
  </si>
  <si>
    <t>05-2091018-24-I30400</t>
  </si>
  <si>
    <t>05-2091018-24-I30510</t>
  </si>
  <si>
    <t>05-2091018-24-I30524</t>
  </si>
  <si>
    <t>05-2111004-23-I30502</t>
  </si>
  <si>
    <t>Чингис хаан олон улсын нисэх буудал</t>
  </si>
  <si>
    <t>05-2141004-24-I30488</t>
  </si>
  <si>
    <t>05-2151006-24-I30873</t>
  </si>
  <si>
    <t>Повернутрэйшн - ALLSTARS</t>
  </si>
  <si>
    <t>05-2151006-24-I30878</t>
  </si>
  <si>
    <t>Повернутрэйшн - BIOTECHUSA KFT.</t>
  </si>
  <si>
    <t>05-2151006-24-I30879</t>
  </si>
  <si>
    <t>05-2151006-25-I00033</t>
  </si>
  <si>
    <t>12-2151011-23-I31192</t>
  </si>
  <si>
    <t>Повернутрэйшн - Amazon.com</t>
  </si>
  <si>
    <t>Ди Эйч Эл</t>
  </si>
  <si>
    <t>12-2151011-24-I30095</t>
  </si>
  <si>
    <t>Монгол инфинити шуудан</t>
  </si>
  <si>
    <t>12-2161001-23-I30179</t>
  </si>
  <si>
    <t>Повернутрэйшн - All Stars Fitnes product GmbH</t>
  </si>
  <si>
    <t>МОНГОЛ ШУУДАН</t>
  </si>
  <si>
    <t>12-2161001-23-I30433</t>
  </si>
  <si>
    <t>Дд</t>
  </si>
  <si>
    <t>Барааны төрөл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</si>
</sst>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/mm/dd"/>
    <numFmt numFmtId="165" formatCode="##,##0.00"/>
    <numFmt numFmtId="166" formatCode="#0"/>
  </numFmts>
  <fonts count="7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sz val="8.25"/>
      <color rgb="FF000000"/>
      <name val="Tahoma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DE6FF"/>
        <bgColor indexed="64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49" fontId="2" fillId="2" borderId="1" xfId="0" applyNumberFormat="1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164" fontId="2" fillId="3" borderId="1" xfId="0" applyNumberFormat="1" applyFont="1" applyFill="1" applyBorder="1" applyAlignment="1">
      <alignment horizontal="left" vertical="center" readingOrder="1"/>
    </xf>
    <xf numFmtId="165" fontId="2" fillId="3" borderId="1" xfId="0" applyNumberFormat="1" applyFont="1" applyFill="1" applyBorder="1" applyAlignment="1">
      <alignment horizontal="right" vertical="center" readingOrder="1"/>
    </xf>
    <xf numFmtId="166" fontId="2" fillId="4" borderId="2" xfId="0" applyNumberFormat="1" applyFont="1" applyFill="1" applyBorder="1" applyAlignment="1">
      <alignment horizontal="right" vertical="center" readingOrder="1"/>
    </xf>
    <xf numFmtId="165" fontId="2" fillId="4" borderId="2" xfId="0" applyNumberFormat="1" applyFont="1" applyFill="1" applyBorder="1" applyAlignment="1">
      <alignment horizontal="right" vertical="center" readingOrder="1"/>
    </xf>
    <xf numFmtId="49" fontId="2" fillId="3" borderId="1" xfId="0" applyNumberFormat="1" applyFont="1" applyFill="1" applyBorder="1" applyAlignment="1">
      <alignment vertical="center" readingOrder="1"/>
    </xf>
    <xf numFmtId="165" fontId="2" fillId="3" borderId="1" xfId="0" applyNumberFormat="1" applyFont="1" applyFill="1" applyBorder="1" applyAlignment="1">
      <alignment vertical="center" readingOrder="1"/>
    </xf>
    <xf numFmtId="0" fontId="2" fillId="4" borderId="3" xfId="0" applyFont="1" applyFill="1" applyBorder="1" applyAlignment="1">
      <alignment vertical="center" readingOrder="1"/>
    </xf>
    <xf numFmtId="165" fontId="2" fillId="4" borderId="2" xfId="0" applyNumberFormat="1" applyFont="1" applyFill="1" applyBorder="1" applyAlignment="1">
      <alignment vertical="center" readingOrder="1"/>
    </xf>
    <xf numFmtId="49" fontId="2" fillId="2" borderId="1" xfId="0" applyNumberFormat="1" applyFont="1" applyFill="1" applyBorder="1" applyAlignment="1">
      <alignment vertical="center" readingOrder="1"/>
    </xf>
    <xf numFmtId="14" fontId="0" fillId="0" borderId="0" xfId="0" applyNumberFormat="1"/>
    <xf numFmtId="0" fontId="0" fillId="5" borderId="0" xfId="0" applyFill="1"/>
    <xf numFmtId="0" fontId="0" fillId="6" borderId="4" xfId="0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right" vertical="center" wrapText="1" indent="1"/>
    </xf>
    <xf numFmtId="0" fontId="4" fillId="5" borderId="4" xfId="2" applyFill="1" applyBorder="1" applyAlignment="1">
      <alignment horizontal="right" vertical="center" wrapText="1" indent="1"/>
    </xf>
    <xf numFmtId="14" fontId="6" fillId="5" borderId="4" xfId="0" applyNumberFormat="1" applyFont="1" applyFill="1" applyBorder="1" applyAlignment="1">
      <alignment horizontal="right" vertical="center" wrapText="1" indent="1"/>
    </xf>
    <xf numFmtId="0" fontId="6" fillId="7" borderId="4" xfId="0" applyFont="1" applyFill="1" applyBorder="1" applyAlignment="1">
      <alignment horizontal="right" vertical="center" wrapText="1" indent="1"/>
    </xf>
    <xf numFmtId="0" fontId="4" fillId="7" borderId="4" xfId="2" applyFill="1" applyBorder="1" applyAlignment="1">
      <alignment horizontal="right" vertical="center" wrapText="1" indent="1"/>
    </xf>
    <xf numFmtId="14" fontId="6" fillId="7" borderId="4" xfId="0" applyNumberFormat="1" applyFont="1" applyFill="1" applyBorder="1" applyAlignment="1">
      <alignment horizontal="right" vertical="center" wrapText="1" indent="1"/>
    </xf>
    <xf numFmtId="43" fontId="0" fillId="0" borderId="0" xfId="1" applyFont="1"/>
    <xf numFmtId="0" fontId="0" fillId="0" borderId="4" xfId="0" applyBorder="1"/>
    <xf numFmtId="14" fontId="0" fillId="0" borderId="4" xfId="0" applyNumberFormat="1" applyBorder="1"/>
    <xf numFmtId="43" fontId="0" fillId="0" borderId="4" xfId="1" applyFont="1" applyBorder="1"/>
    <xf numFmtId="49" fontId="1" fillId="0" borderId="0" xfId="0" applyNumberFormat="1" applyFont="1" applyAlignment="1">
      <alignment horizontal="center" vertical="top" wrapText="1" shrinkToFit="1" readingOrder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gaali.mn/my-account/declaration/approved/02209101525I00142" TargetMode="External"/><Relationship Id="rId21" Type="http://schemas.openxmlformats.org/officeDocument/2006/relationships/hyperlink" Target="https://gaali.mn/my-account/declaration/approved/02209101523I32352" TargetMode="External"/><Relationship Id="rId34" Type="http://schemas.openxmlformats.org/officeDocument/2006/relationships/hyperlink" Target="https://gaali.mn/my-account/declaration/approved/02214100724I34188" TargetMode="External"/><Relationship Id="rId42" Type="http://schemas.openxmlformats.org/officeDocument/2006/relationships/hyperlink" Target="https://gaali.mn/my-account/declaration/approved/04214100223I30170" TargetMode="External"/><Relationship Id="rId47" Type="http://schemas.openxmlformats.org/officeDocument/2006/relationships/hyperlink" Target="https://gaali.mn/my-account/declaration/approved/05209101824I30270" TargetMode="External"/><Relationship Id="rId50" Type="http://schemas.openxmlformats.org/officeDocument/2006/relationships/hyperlink" Target="https://gaali.mn/my-account/declaration/approved/05209101824I30288" TargetMode="External"/><Relationship Id="rId55" Type="http://schemas.openxmlformats.org/officeDocument/2006/relationships/hyperlink" Target="https://gaali.mn/my-account/declaration/approved/05209101824I30510" TargetMode="External"/><Relationship Id="rId63" Type="http://schemas.openxmlformats.org/officeDocument/2006/relationships/hyperlink" Target="https://gaali.mn/my-account/declaration/approved/12215101123I31192" TargetMode="External"/><Relationship Id="rId7" Type="http://schemas.openxmlformats.org/officeDocument/2006/relationships/hyperlink" Target="https://gaali.mn/my-account/declaration/approved/02209101024I33185" TargetMode="External"/><Relationship Id="rId2" Type="http://schemas.openxmlformats.org/officeDocument/2006/relationships/hyperlink" Target="https://gaali.mn/my-account/declaration/approved/02209101024I30274" TargetMode="External"/><Relationship Id="rId16" Type="http://schemas.openxmlformats.org/officeDocument/2006/relationships/hyperlink" Target="https://gaali.mn/my-account/declaration/approved/02209101523I31359" TargetMode="External"/><Relationship Id="rId29" Type="http://schemas.openxmlformats.org/officeDocument/2006/relationships/hyperlink" Target="https://gaali.mn/my-account/declaration/approved/02209101825I00403" TargetMode="External"/><Relationship Id="rId11" Type="http://schemas.openxmlformats.org/officeDocument/2006/relationships/hyperlink" Target="https://gaali.mn/my-account/declaration/approved/02209101523I30701" TargetMode="External"/><Relationship Id="rId24" Type="http://schemas.openxmlformats.org/officeDocument/2006/relationships/hyperlink" Target="https://gaali.mn/my-account/declaration/approved/02209101524I31945" TargetMode="External"/><Relationship Id="rId32" Type="http://schemas.openxmlformats.org/officeDocument/2006/relationships/hyperlink" Target="https://gaali.mn/my-account/declaration/approved/02214100724I34053" TargetMode="External"/><Relationship Id="rId37" Type="http://schemas.openxmlformats.org/officeDocument/2006/relationships/hyperlink" Target="https://gaali.mn/my-account/declaration/approved/02215100824I33724" TargetMode="External"/><Relationship Id="rId40" Type="http://schemas.openxmlformats.org/officeDocument/2006/relationships/hyperlink" Target="https://gaali.mn/my-account/declaration/approved/02215100824I33791" TargetMode="External"/><Relationship Id="rId45" Type="http://schemas.openxmlformats.org/officeDocument/2006/relationships/hyperlink" Target="https://gaali.mn/my-account/declaration/approved/04214100223I30386" TargetMode="External"/><Relationship Id="rId53" Type="http://schemas.openxmlformats.org/officeDocument/2006/relationships/hyperlink" Target="https://gaali.mn/my-account/declaration/approved/05209101824I30399" TargetMode="External"/><Relationship Id="rId58" Type="http://schemas.openxmlformats.org/officeDocument/2006/relationships/hyperlink" Target="https://gaali.mn/my-account/declaration/approved/05214100424I30488" TargetMode="External"/><Relationship Id="rId66" Type="http://schemas.openxmlformats.org/officeDocument/2006/relationships/hyperlink" Target="https://gaali.mn/my-account/declaration/approved/12216100123I30433" TargetMode="External"/><Relationship Id="rId5" Type="http://schemas.openxmlformats.org/officeDocument/2006/relationships/hyperlink" Target="https://gaali.mn/my-account/declaration/approved/02209101024I32989" TargetMode="External"/><Relationship Id="rId61" Type="http://schemas.openxmlformats.org/officeDocument/2006/relationships/hyperlink" Target="https://gaali.mn/my-account/declaration/approved/05215100624I30879" TargetMode="External"/><Relationship Id="rId19" Type="http://schemas.openxmlformats.org/officeDocument/2006/relationships/hyperlink" Target="https://gaali.mn/my-account/declaration/approved/02209101523I31403" TargetMode="External"/><Relationship Id="rId14" Type="http://schemas.openxmlformats.org/officeDocument/2006/relationships/hyperlink" Target="https://gaali.mn/my-account/declaration/approved/02209101523I31357" TargetMode="External"/><Relationship Id="rId22" Type="http://schemas.openxmlformats.org/officeDocument/2006/relationships/hyperlink" Target="https://gaali.mn/my-account/declaration/approved/02209101523I32353" TargetMode="External"/><Relationship Id="rId27" Type="http://schemas.openxmlformats.org/officeDocument/2006/relationships/hyperlink" Target="https://gaali.mn/my-account/declaration/approved/02209101824I31854" TargetMode="External"/><Relationship Id="rId30" Type="http://schemas.openxmlformats.org/officeDocument/2006/relationships/hyperlink" Target="https://gaali.mn/my-account/declaration/approved/02209101825I00493" TargetMode="External"/><Relationship Id="rId35" Type="http://schemas.openxmlformats.org/officeDocument/2006/relationships/hyperlink" Target="https://gaali.mn/my-account/declaration/approved/02214100724I34189" TargetMode="External"/><Relationship Id="rId43" Type="http://schemas.openxmlformats.org/officeDocument/2006/relationships/hyperlink" Target="https://gaali.mn/my-account/declaration/approved/04214100223I30172" TargetMode="External"/><Relationship Id="rId48" Type="http://schemas.openxmlformats.org/officeDocument/2006/relationships/hyperlink" Target="https://gaali.mn/my-account/declaration/approved/05209101824I30271" TargetMode="External"/><Relationship Id="rId56" Type="http://schemas.openxmlformats.org/officeDocument/2006/relationships/hyperlink" Target="https://gaali.mn/my-account/declaration/approved/05209101824I30524" TargetMode="External"/><Relationship Id="rId64" Type="http://schemas.openxmlformats.org/officeDocument/2006/relationships/hyperlink" Target="https://gaali.mn/my-account/declaration/approved/12215101124I30095" TargetMode="External"/><Relationship Id="rId8" Type="http://schemas.openxmlformats.org/officeDocument/2006/relationships/hyperlink" Target="https://gaali.mn/my-account/declaration/approved/02209101024I33443" TargetMode="External"/><Relationship Id="rId51" Type="http://schemas.openxmlformats.org/officeDocument/2006/relationships/hyperlink" Target="https://gaali.mn/my-account/declaration/approved/05209101824I30289" TargetMode="External"/><Relationship Id="rId3" Type="http://schemas.openxmlformats.org/officeDocument/2006/relationships/hyperlink" Target="https://gaali.mn/my-account/declaration/approved/02209101024I30639" TargetMode="External"/><Relationship Id="rId12" Type="http://schemas.openxmlformats.org/officeDocument/2006/relationships/hyperlink" Target="https://gaali.mn/my-account/declaration/approved/02209101523I30702" TargetMode="External"/><Relationship Id="rId17" Type="http://schemas.openxmlformats.org/officeDocument/2006/relationships/hyperlink" Target="https://gaali.mn/my-account/declaration/approved/02209101523I31360" TargetMode="External"/><Relationship Id="rId25" Type="http://schemas.openxmlformats.org/officeDocument/2006/relationships/hyperlink" Target="https://gaali.mn/my-account/declaration/approved/02209101524I31946" TargetMode="External"/><Relationship Id="rId33" Type="http://schemas.openxmlformats.org/officeDocument/2006/relationships/hyperlink" Target="https://gaali.mn/my-account/declaration/approved/02214100724I34062" TargetMode="External"/><Relationship Id="rId38" Type="http://schemas.openxmlformats.org/officeDocument/2006/relationships/hyperlink" Target="https://gaali.mn/my-account/declaration/approved/02215100824I33727" TargetMode="External"/><Relationship Id="rId46" Type="http://schemas.openxmlformats.org/officeDocument/2006/relationships/hyperlink" Target="https://gaali.mn/my-account/declaration/approved/05209101824I30098" TargetMode="External"/><Relationship Id="rId59" Type="http://schemas.openxmlformats.org/officeDocument/2006/relationships/hyperlink" Target="https://gaali.mn/my-account/declaration/approved/05215100624I30873" TargetMode="External"/><Relationship Id="rId20" Type="http://schemas.openxmlformats.org/officeDocument/2006/relationships/hyperlink" Target="https://gaali.mn/my-account/declaration/approved/02209101523I32351" TargetMode="External"/><Relationship Id="rId41" Type="http://schemas.openxmlformats.org/officeDocument/2006/relationships/hyperlink" Target="https://gaali.mn/my-account/declaration/approved/02215100824I33792" TargetMode="External"/><Relationship Id="rId54" Type="http://schemas.openxmlformats.org/officeDocument/2006/relationships/hyperlink" Target="https://gaali.mn/my-account/declaration/approved/05209101824I30400" TargetMode="External"/><Relationship Id="rId62" Type="http://schemas.openxmlformats.org/officeDocument/2006/relationships/hyperlink" Target="https://gaali.mn/my-account/declaration/approved/05215100625I00033" TargetMode="External"/><Relationship Id="rId1" Type="http://schemas.openxmlformats.org/officeDocument/2006/relationships/hyperlink" Target="https://gaali.mn/my-account/declaration/approved/02209101024I30273" TargetMode="External"/><Relationship Id="rId6" Type="http://schemas.openxmlformats.org/officeDocument/2006/relationships/hyperlink" Target="https://gaali.mn/my-account/declaration/approved/02209101024I33125" TargetMode="External"/><Relationship Id="rId15" Type="http://schemas.openxmlformats.org/officeDocument/2006/relationships/hyperlink" Target="https://gaali.mn/my-account/declaration/approved/02209101523I31358" TargetMode="External"/><Relationship Id="rId23" Type="http://schemas.openxmlformats.org/officeDocument/2006/relationships/hyperlink" Target="https://gaali.mn/my-account/declaration/approved/02209101524I31944" TargetMode="External"/><Relationship Id="rId28" Type="http://schemas.openxmlformats.org/officeDocument/2006/relationships/hyperlink" Target="https://gaali.mn/my-account/declaration/approved/02209101824I31855" TargetMode="External"/><Relationship Id="rId36" Type="http://schemas.openxmlformats.org/officeDocument/2006/relationships/hyperlink" Target="https://gaali.mn/my-account/declaration/approved/02214100724I34454" TargetMode="External"/><Relationship Id="rId49" Type="http://schemas.openxmlformats.org/officeDocument/2006/relationships/hyperlink" Target="https://gaali.mn/my-account/declaration/approved/05209101824I30272" TargetMode="External"/><Relationship Id="rId57" Type="http://schemas.openxmlformats.org/officeDocument/2006/relationships/hyperlink" Target="https://gaali.mn/my-account/declaration/approved/05211100423I30502" TargetMode="External"/><Relationship Id="rId10" Type="http://schemas.openxmlformats.org/officeDocument/2006/relationships/hyperlink" Target="https://gaali.mn/my-account/declaration/approved/02209101523I30700" TargetMode="External"/><Relationship Id="rId31" Type="http://schemas.openxmlformats.org/officeDocument/2006/relationships/hyperlink" Target="https://gaali.mn/my-account/declaration/approved/02214100724I31709" TargetMode="External"/><Relationship Id="rId44" Type="http://schemas.openxmlformats.org/officeDocument/2006/relationships/hyperlink" Target="https://gaali.mn/my-account/declaration/approved/04214100223I30173" TargetMode="External"/><Relationship Id="rId52" Type="http://schemas.openxmlformats.org/officeDocument/2006/relationships/hyperlink" Target="https://gaali.mn/my-account/declaration/approved/05209101824I30290" TargetMode="External"/><Relationship Id="rId60" Type="http://schemas.openxmlformats.org/officeDocument/2006/relationships/hyperlink" Target="https://gaali.mn/my-account/declaration/approved/05215100624I30878" TargetMode="External"/><Relationship Id="rId65" Type="http://schemas.openxmlformats.org/officeDocument/2006/relationships/hyperlink" Target="https://gaali.mn/my-account/declaration/approved/12216100123I30179" TargetMode="External"/><Relationship Id="rId4" Type="http://schemas.openxmlformats.org/officeDocument/2006/relationships/hyperlink" Target="https://gaali.mn/my-account/declaration/approved/02209101024I32266" TargetMode="External"/><Relationship Id="rId9" Type="http://schemas.openxmlformats.org/officeDocument/2006/relationships/hyperlink" Target="https://gaali.mn/my-account/declaration/approved/02209101024I33809" TargetMode="External"/><Relationship Id="rId13" Type="http://schemas.openxmlformats.org/officeDocument/2006/relationships/hyperlink" Target="https://gaali.mn/my-account/declaration/approved/02209101523I30711" TargetMode="External"/><Relationship Id="rId18" Type="http://schemas.openxmlformats.org/officeDocument/2006/relationships/hyperlink" Target="https://gaali.mn/my-account/declaration/approved/02209101523I31378" TargetMode="External"/><Relationship Id="rId39" Type="http://schemas.openxmlformats.org/officeDocument/2006/relationships/hyperlink" Target="https://gaali.mn/my-account/declaration/approved/02215100824I3372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L55"/>
  <sheetViews>
    <sheetView showGridLines="0" workbookViewId="0">
      <selection sqref="A1:C1"/>
    </sheetView>
  </sheetViews>
  <sheetFormatPr defaultRowHeight="15" x14ac:dyDescent="0.25"/>
  <cols>
    <col min="1" max="1" width="8" bestFit="1" customWidth="1"/>
    <col min="2" max="2" width="9" bestFit="1" customWidth="1"/>
    <col min="3" max="3" width="30.28515625" bestFit="1" customWidth="1"/>
    <col min="4" max="4" width="15.140625" bestFit="1" customWidth="1"/>
    <col min="5" max="5" width="7.28515625" bestFit="1" customWidth="1"/>
    <col min="6" max="6" width="5.7109375" bestFit="1" customWidth="1"/>
    <col min="7" max="7" width="13.7109375" bestFit="1" customWidth="1"/>
    <col min="8" max="8" width="11.5703125" bestFit="1" customWidth="1"/>
    <col min="9" max="9" width="11.28515625" bestFit="1" customWidth="1"/>
    <col min="10" max="11" width="12.140625" bestFit="1" customWidth="1"/>
    <col min="12" max="12" width="13.7109375" bestFit="1" customWidth="1"/>
  </cols>
  <sheetData>
    <row r="1" spans="1:12" ht="12" customHeight="1" x14ac:dyDescent="0.25">
      <c r="A1" s="26" t="s">
        <v>0</v>
      </c>
      <c r="B1" s="26"/>
      <c r="C1" s="26"/>
    </row>
    <row r="2" spans="1:12" ht="24" customHeight="1" x14ac:dyDescent="0.25"/>
    <row r="3" spans="1:12" ht="27" customHeight="1" x14ac:dyDescent="0.25">
      <c r="A3" s="1" t="s">
        <v>1</v>
      </c>
      <c r="B3" s="1" t="s">
        <v>2</v>
      </c>
      <c r="C3" s="1" t="s">
        <v>3</v>
      </c>
      <c r="D3" s="1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1" t="s">
        <v>12</v>
      </c>
    </row>
    <row r="4" spans="1:12" ht="15" customHeight="1" x14ac:dyDescent="0.25">
      <c r="A4" s="2" t="s">
        <v>13</v>
      </c>
      <c r="B4" s="3">
        <v>45009</v>
      </c>
      <c r="C4" s="2" t="s">
        <v>14</v>
      </c>
      <c r="D4" s="7" t="s">
        <v>15</v>
      </c>
      <c r="E4" s="2" t="s">
        <v>16</v>
      </c>
      <c r="F4" s="2" t="s">
        <v>17</v>
      </c>
      <c r="G4" s="4">
        <v>32233439.57</v>
      </c>
      <c r="H4" s="4">
        <v>8381.4</v>
      </c>
      <c r="I4" s="4">
        <v>1704741.06</v>
      </c>
      <c r="J4" s="4">
        <v>3579956.23</v>
      </c>
      <c r="K4" s="4">
        <v>5012701.5999999996</v>
      </c>
      <c r="L4" s="8">
        <v>40826097.399999999</v>
      </c>
    </row>
    <row r="5" spans="1:12" ht="15" customHeight="1" x14ac:dyDescent="0.25">
      <c r="A5" s="2" t="s">
        <v>18</v>
      </c>
      <c r="B5" s="3">
        <v>45009</v>
      </c>
      <c r="C5" s="2" t="s">
        <v>14</v>
      </c>
      <c r="D5" s="7" t="s">
        <v>19</v>
      </c>
      <c r="E5" s="2" t="s">
        <v>16</v>
      </c>
      <c r="F5" s="2" t="s">
        <v>17</v>
      </c>
      <c r="G5" s="4">
        <v>4406705.8499999996</v>
      </c>
      <c r="H5" s="4">
        <v>1145.8399999999999</v>
      </c>
      <c r="I5" s="4">
        <v>232834.24</v>
      </c>
      <c r="J5" s="4">
        <v>488951.9</v>
      </c>
      <c r="K5" s="4">
        <v>743430.17</v>
      </c>
      <c r="L5" s="8">
        <v>5639087.9199999999</v>
      </c>
    </row>
    <row r="6" spans="1:12" ht="15" customHeight="1" x14ac:dyDescent="0.25">
      <c r="A6" s="2" t="s">
        <v>20</v>
      </c>
      <c r="B6" s="3">
        <v>45010</v>
      </c>
      <c r="C6" s="2" t="s">
        <v>14</v>
      </c>
      <c r="D6" s="7" t="s">
        <v>21</v>
      </c>
      <c r="E6" s="2" t="s">
        <v>16</v>
      </c>
      <c r="F6" s="2" t="s">
        <v>17</v>
      </c>
      <c r="G6" s="4">
        <v>62343316.719999999</v>
      </c>
      <c r="H6" s="4">
        <v>16331.27</v>
      </c>
      <c r="I6" s="4">
        <v>3307786.77</v>
      </c>
      <c r="J6" s="4">
        <v>6946352.2199999997</v>
      </c>
      <c r="K6" s="4">
        <v>10520660.41</v>
      </c>
      <c r="L6" s="8">
        <v>79810329.349999994</v>
      </c>
    </row>
    <row r="7" spans="1:12" ht="15" customHeight="1" x14ac:dyDescent="0.25">
      <c r="A7" s="2" t="s">
        <v>22</v>
      </c>
      <c r="B7" s="3">
        <v>45022</v>
      </c>
      <c r="C7" s="2" t="s">
        <v>14</v>
      </c>
      <c r="D7" s="7" t="s">
        <v>15</v>
      </c>
      <c r="E7" s="2" t="s">
        <v>16</v>
      </c>
      <c r="F7" s="2" t="s">
        <v>17</v>
      </c>
      <c r="G7" s="4">
        <v>86245622.129999995</v>
      </c>
      <c r="H7" s="4">
        <v>22425.75</v>
      </c>
      <c r="I7" s="4">
        <v>4398131.38</v>
      </c>
      <c r="J7" s="4">
        <v>9236075.8900000006</v>
      </c>
      <c r="K7" s="4">
        <v>6227554.75</v>
      </c>
      <c r="L7" s="8">
        <v>101709252.77</v>
      </c>
    </row>
    <row r="8" spans="1:12" ht="15" customHeight="1" x14ac:dyDescent="0.25">
      <c r="A8" s="2" t="s">
        <v>23</v>
      </c>
      <c r="B8" s="3">
        <v>45022</v>
      </c>
      <c r="C8" s="2" t="s">
        <v>14</v>
      </c>
      <c r="D8" s="7" t="s">
        <v>24</v>
      </c>
      <c r="E8" s="2" t="s">
        <v>16</v>
      </c>
      <c r="F8" s="2" t="s">
        <v>17</v>
      </c>
      <c r="G8" s="4">
        <v>96785350.040000007</v>
      </c>
      <c r="H8" s="4">
        <v>25166.31</v>
      </c>
      <c r="I8" s="4">
        <v>5045329.5599999996</v>
      </c>
      <c r="J8" s="4">
        <v>10595192.07</v>
      </c>
      <c r="K8" s="4">
        <v>9448664.0600000005</v>
      </c>
      <c r="L8" s="8">
        <v>116829206.17</v>
      </c>
    </row>
    <row r="9" spans="1:12" ht="15" customHeight="1" x14ac:dyDescent="0.25">
      <c r="A9" s="2" t="s">
        <v>25</v>
      </c>
      <c r="B9" s="3">
        <v>45022</v>
      </c>
      <c r="C9" s="2" t="s">
        <v>14</v>
      </c>
      <c r="D9" s="7" t="s">
        <v>26</v>
      </c>
      <c r="E9" s="2" t="s">
        <v>16</v>
      </c>
      <c r="F9" s="2" t="s">
        <v>17</v>
      </c>
      <c r="G9" s="4">
        <v>20008040.920000002</v>
      </c>
      <c r="H9" s="4">
        <v>5200.2299999999996</v>
      </c>
      <c r="I9" s="4">
        <v>1037764.83</v>
      </c>
      <c r="J9" s="4">
        <v>2179306.15</v>
      </c>
      <c r="K9" s="4">
        <v>1970198.85</v>
      </c>
      <c r="L9" s="8">
        <v>24157545.920000002</v>
      </c>
    </row>
    <row r="10" spans="1:12" ht="15" customHeight="1" x14ac:dyDescent="0.25">
      <c r="A10" s="2" t="s">
        <v>27</v>
      </c>
      <c r="B10" s="3">
        <v>45022</v>
      </c>
      <c r="C10" s="2" t="s">
        <v>14</v>
      </c>
      <c r="D10" s="7" t="s">
        <v>28</v>
      </c>
      <c r="E10" s="2" t="s">
        <v>16</v>
      </c>
      <c r="F10" s="2" t="s">
        <v>17</v>
      </c>
      <c r="G10" s="4">
        <v>47167639.780000001</v>
      </c>
      <c r="H10" s="4">
        <v>12259.2</v>
      </c>
      <c r="I10" s="4">
        <v>3764502.25</v>
      </c>
      <c r="J10" s="4">
        <v>7905454.7199999997</v>
      </c>
      <c r="K10" s="4">
        <v>33258921.329999998</v>
      </c>
      <c r="L10" s="8">
        <v>88332015.829999998</v>
      </c>
    </row>
    <row r="11" spans="1:12" ht="15" customHeight="1" x14ac:dyDescent="0.25">
      <c r="A11" s="2" t="s">
        <v>29</v>
      </c>
      <c r="B11" s="3">
        <v>45065</v>
      </c>
      <c r="C11" s="2" t="s">
        <v>14</v>
      </c>
      <c r="D11" s="7" t="s">
        <v>15</v>
      </c>
      <c r="E11" s="2" t="s">
        <v>16</v>
      </c>
      <c r="F11" s="2" t="s">
        <v>17</v>
      </c>
      <c r="G11" s="4">
        <v>3443794.2</v>
      </c>
      <c r="H11" s="4">
        <v>924</v>
      </c>
      <c r="I11" s="4">
        <v>192080.98</v>
      </c>
      <c r="J11" s="4">
        <v>403370.05</v>
      </c>
      <c r="K11" s="4">
        <v>616288.12</v>
      </c>
      <c r="L11" s="8">
        <v>4463452.37</v>
      </c>
    </row>
    <row r="12" spans="1:12" ht="15" customHeight="1" x14ac:dyDescent="0.25">
      <c r="A12" s="2" t="s">
        <v>30</v>
      </c>
      <c r="B12" s="3">
        <v>45089</v>
      </c>
      <c r="C12" s="2" t="s">
        <v>14</v>
      </c>
      <c r="D12" s="7" t="s">
        <v>28</v>
      </c>
      <c r="E12" s="2" t="s">
        <v>16</v>
      </c>
      <c r="F12" s="2" t="s">
        <v>17</v>
      </c>
      <c r="G12" s="4">
        <v>74277.86</v>
      </c>
      <c r="H12" s="4">
        <v>20.04</v>
      </c>
      <c r="I12" s="4">
        <v>21868.23</v>
      </c>
      <c r="J12" s="4">
        <v>45923.29</v>
      </c>
      <c r="K12" s="4">
        <v>694749.41</v>
      </c>
      <c r="L12" s="8">
        <v>814950.56</v>
      </c>
    </row>
    <row r="13" spans="1:12" ht="15" customHeight="1" x14ac:dyDescent="0.25">
      <c r="A13" s="2" t="s">
        <v>31</v>
      </c>
      <c r="B13" s="3">
        <v>45089</v>
      </c>
      <c r="C13" s="2" t="s">
        <v>14</v>
      </c>
      <c r="D13" s="7" t="s">
        <v>15</v>
      </c>
      <c r="E13" s="2" t="s">
        <v>16</v>
      </c>
      <c r="F13" s="2" t="s">
        <v>17</v>
      </c>
      <c r="G13" s="4">
        <v>4512392.1399999997</v>
      </c>
      <c r="H13" s="4">
        <v>1205.8900000000001</v>
      </c>
      <c r="I13" s="4">
        <v>223956.31</v>
      </c>
      <c r="J13" s="4">
        <v>470308.24</v>
      </c>
      <c r="K13" s="4">
        <v>540493.51</v>
      </c>
      <c r="L13" s="8">
        <v>5523193.8899999997</v>
      </c>
    </row>
    <row r="14" spans="1:12" ht="15" customHeight="1" x14ac:dyDescent="0.25">
      <c r="A14" s="2" t="s">
        <v>32</v>
      </c>
      <c r="B14" s="3">
        <v>45128</v>
      </c>
      <c r="C14" s="2" t="s">
        <v>14</v>
      </c>
      <c r="D14" s="7" t="s">
        <v>33</v>
      </c>
      <c r="E14" s="2" t="s">
        <v>16</v>
      </c>
      <c r="F14" s="2" t="s">
        <v>17</v>
      </c>
      <c r="G14" s="4">
        <v>37719082.399999999</v>
      </c>
      <c r="H14" s="4">
        <v>9878.01</v>
      </c>
      <c r="I14" s="4">
        <v>2167999.25</v>
      </c>
      <c r="J14" s="4">
        <v>4530538.4400000004</v>
      </c>
      <c r="K14" s="4">
        <v>8781456.2599999998</v>
      </c>
      <c r="L14" s="8">
        <v>51031077.100000001</v>
      </c>
    </row>
    <row r="15" spans="1:12" ht="15" customHeight="1" x14ac:dyDescent="0.25">
      <c r="A15" s="2" t="s">
        <v>34</v>
      </c>
      <c r="B15" s="3">
        <v>45128</v>
      </c>
      <c r="C15" s="2" t="s">
        <v>14</v>
      </c>
      <c r="D15" s="7" t="s">
        <v>26</v>
      </c>
      <c r="E15" s="2" t="s">
        <v>16</v>
      </c>
      <c r="F15" s="2" t="s">
        <v>17</v>
      </c>
      <c r="G15" s="4">
        <v>16042890.77</v>
      </c>
      <c r="H15" s="4">
        <v>4291.3100000000004</v>
      </c>
      <c r="I15" s="4">
        <v>849474.93</v>
      </c>
      <c r="J15" s="4">
        <v>1761637.36</v>
      </c>
      <c r="K15" s="4">
        <v>1878026.57</v>
      </c>
      <c r="L15" s="8">
        <v>19682554.699999999</v>
      </c>
    </row>
    <row r="16" spans="1:12" ht="15" customHeight="1" x14ac:dyDescent="0.25">
      <c r="A16" s="2" t="s">
        <v>35</v>
      </c>
      <c r="B16" s="3">
        <v>45128</v>
      </c>
      <c r="C16" s="2" t="s">
        <v>14</v>
      </c>
      <c r="D16" s="7" t="s">
        <v>24</v>
      </c>
      <c r="E16" s="2" t="s">
        <v>16</v>
      </c>
      <c r="F16" s="2" t="s">
        <v>17</v>
      </c>
      <c r="G16" s="4">
        <v>124330430.56999999</v>
      </c>
      <c r="H16" s="4">
        <v>32124.07</v>
      </c>
      <c r="I16" s="4">
        <v>6361133.6500000004</v>
      </c>
      <c r="J16" s="4">
        <v>13331080.66</v>
      </c>
      <c r="K16" s="4">
        <v>10389464.08</v>
      </c>
      <c r="L16" s="8">
        <v>148050975.31</v>
      </c>
    </row>
    <row r="17" spans="1:12" ht="15" customHeight="1" x14ac:dyDescent="0.25">
      <c r="A17" s="2" t="s">
        <v>36</v>
      </c>
      <c r="B17" s="3">
        <v>45128</v>
      </c>
      <c r="C17" s="2" t="s">
        <v>14</v>
      </c>
      <c r="D17" s="7" t="s">
        <v>21</v>
      </c>
      <c r="E17" s="2" t="s">
        <v>16</v>
      </c>
      <c r="F17" s="2" t="s">
        <v>17</v>
      </c>
      <c r="G17" s="4">
        <v>144466467.05000001</v>
      </c>
      <c r="H17" s="4">
        <v>37326.75</v>
      </c>
      <c r="I17" s="4">
        <v>7353781.4699999997</v>
      </c>
      <c r="J17" s="4">
        <v>15420681.1</v>
      </c>
      <c r="K17" s="4">
        <v>15173206.449999999</v>
      </c>
      <c r="L17" s="8">
        <v>175060354.59999999</v>
      </c>
    </row>
    <row r="18" spans="1:12" ht="15" customHeight="1" x14ac:dyDescent="0.25">
      <c r="A18" s="2" t="s">
        <v>37</v>
      </c>
      <c r="B18" s="3">
        <v>45128</v>
      </c>
      <c r="C18" s="2" t="s">
        <v>14</v>
      </c>
      <c r="D18" s="7" t="s">
        <v>15</v>
      </c>
      <c r="E18" s="2" t="s">
        <v>16</v>
      </c>
      <c r="F18" s="2" t="s">
        <v>17</v>
      </c>
      <c r="G18" s="4">
        <v>50491640.759999998</v>
      </c>
      <c r="H18" s="4">
        <v>13506</v>
      </c>
      <c r="I18" s="4">
        <v>2587924.23</v>
      </c>
      <c r="J18" s="4">
        <v>5412380.8799999999</v>
      </c>
      <c r="K18" s="4">
        <v>3873495</v>
      </c>
      <c r="L18" s="8">
        <v>59777516.630000003</v>
      </c>
    </row>
    <row r="19" spans="1:12" ht="15" customHeight="1" x14ac:dyDescent="0.25">
      <c r="A19" s="2" t="s">
        <v>38</v>
      </c>
      <c r="B19" s="3">
        <v>45232</v>
      </c>
      <c r="C19" s="2" t="s">
        <v>14</v>
      </c>
      <c r="D19" s="7" t="s">
        <v>21</v>
      </c>
      <c r="E19" s="2" t="s">
        <v>16</v>
      </c>
      <c r="F19" s="2" t="s">
        <v>17</v>
      </c>
      <c r="G19" s="4">
        <v>5299444.6500000004</v>
      </c>
      <c r="H19" s="4">
        <v>1455</v>
      </c>
      <c r="I19" s="4">
        <v>326890.14</v>
      </c>
      <c r="J19" s="4">
        <v>686469.29</v>
      </c>
      <c r="K19" s="4">
        <v>1573448.34</v>
      </c>
      <c r="L19" s="8">
        <v>7559362.2800000003</v>
      </c>
    </row>
    <row r="20" spans="1:12" ht="15" customHeight="1" x14ac:dyDescent="0.25">
      <c r="A20" s="2" t="s">
        <v>39</v>
      </c>
      <c r="B20" s="3">
        <v>45233</v>
      </c>
      <c r="C20" s="2" t="s">
        <v>14</v>
      </c>
      <c r="D20" s="7" t="s">
        <v>26</v>
      </c>
      <c r="E20" s="2" t="s">
        <v>16</v>
      </c>
      <c r="F20" s="2" t="s">
        <v>17</v>
      </c>
      <c r="G20" s="4">
        <v>99253558.730000004</v>
      </c>
      <c r="H20" s="4">
        <v>27158.38</v>
      </c>
      <c r="I20" s="4">
        <v>5463123.7599999998</v>
      </c>
      <c r="J20" s="4">
        <v>11472559.890000001</v>
      </c>
      <c r="K20" s="4">
        <v>15482631.550000001</v>
      </c>
      <c r="L20" s="8">
        <v>126208750.17</v>
      </c>
    </row>
    <row r="21" spans="1:12" ht="15" customHeight="1" x14ac:dyDescent="0.25">
      <c r="A21" s="2" t="s">
        <v>40</v>
      </c>
      <c r="B21" s="3">
        <v>45233</v>
      </c>
      <c r="C21" s="2" t="s">
        <v>14</v>
      </c>
      <c r="D21" s="7" t="s">
        <v>28</v>
      </c>
      <c r="E21" s="2" t="s">
        <v>16</v>
      </c>
      <c r="F21" s="2" t="s">
        <v>17</v>
      </c>
      <c r="G21" s="4">
        <v>10291409.92</v>
      </c>
      <c r="H21" s="4">
        <v>2816</v>
      </c>
      <c r="I21" s="4">
        <v>916190.34</v>
      </c>
      <c r="J21" s="4">
        <v>1906779.71</v>
      </c>
      <c r="K21" s="4">
        <v>8784587.1999999993</v>
      </c>
      <c r="L21" s="8">
        <v>20982776.829999998</v>
      </c>
    </row>
    <row r="22" spans="1:12" ht="15" customHeight="1" x14ac:dyDescent="0.25">
      <c r="A22" s="2" t="s">
        <v>41</v>
      </c>
      <c r="B22" s="3">
        <v>45257</v>
      </c>
      <c r="C22" s="2" t="s">
        <v>14</v>
      </c>
      <c r="D22" s="7" t="s">
        <v>15</v>
      </c>
      <c r="E22" s="2" t="s">
        <v>16</v>
      </c>
      <c r="F22" s="2" t="s">
        <v>17</v>
      </c>
      <c r="G22" s="4">
        <v>4382475.79</v>
      </c>
      <c r="H22" s="4">
        <v>1169</v>
      </c>
      <c r="I22" s="4">
        <v>241499.16</v>
      </c>
      <c r="J22" s="4">
        <v>507148.23</v>
      </c>
      <c r="K22" s="4">
        <v>725061.1</v>
      </c>
      <c r="L22" s="8">
        <v>5614685.1200000001</v>
      </c>
    </row>
    <row r="23" spans="1:12" ht="15" customHeight="1" x14ac:dyDescent="0.25">
      <c r="A23" s="2" t="s">
        <v>42</v>
      </c>
      <c r="B23" s="3">
        <v>45306</v>
      </c>
      <c r="C23" s="2" t="s">
        <v>14</v>
      </c>
      <c r="D23" s="7" t="s">
        <v>21</v>
      </c>
      <c r="E23" s="2" t="s">
        <v>16</v>
      </c>
      <c r="F23" s="2" t="s">
        <v>17</v>
      </c>
      <c r="G23" s="4">
        <v>28050683.739999998</v>
      </c>
      <c r="H23" s="4">
        <v>7502.57</v>
      </c>
      <c r="I23" s="4">
        <v>1651240.33</v>
      </c>
      <c r="J23" s="4">
        <v>3445344.7</v>
      </c>
      <c r="K23" s="4">
        <v>6884562.04</v>
      </c>
      <c r="L23" s="8">
        <v>38380590.479999997</v>
      </c>
    </row>
    <row r="24" spans="1:12" ht="15" customHeight="1" x14ac:dyDescent="0.25">
      <c r="A24" s="2" t="s">
        <v>43</v>
      </c>
      <c r="B24" s="3">
        <v>45306</v>
      </c>
      <c r="C24" s="2" t="s">
        <v>14</v>
      </c>
      <c r="D24" s="7" t="s">
        <v>15</v>
      </c>
      <c r="E24" s="2" t="s">
        <v>16</v>
      </c>
      <c r="F24" s="2" t="s">
        <v>17</v>
      </c>
      <c r="G24" s="4">
        <v>8030963.8799999999</v>
      </c>
      <c r="H24" s="4">
        <v>2148</v>
      </c>
      <c r="I24" s="4">
        <v>475789.3</v>
      </c>
      <c r="J24" s="4">
        <v>962197.52</v>
      </c>
      <c r="K24" s="4">
        <v>1718338.61</v>
      </c>
      <c r="L24" s="8">
        <v>10711500.01</v>
      </c>
    </row>
    <row r="25" spans="1:12" ht="15" customHeight="1" x14ac:dyDescent="0.25">
      <c r="A25" s="2" t="s">
        <v>44</v>
      </c>
      <c r="B25" s="3">
        <v>45342</v>
      </c>
      <c r="C25" s="2" t="s">
        <v>14</v>
      </c>
      <c r="D25" s="7" t="s">
        <v>24</v>
      </c>
      <c r="E25" s="2" t="s">
        <v>16</v>
      </c>
      <c r="F25" s="2" t="s">
        <v>17</v>
      </c>
      <c r="G25" s="4">
        <v>30742588.359999999</v>
      </c>
      <c r="H25" s="4">
        <v>8404</v>
      </c>
      <c r="I25" s="4">
        <v>2142030.62</v>
      </c>
      <c r="J25" s="4">
        <v>4465924.3099999996</v>
      </c>
      <c r="K25" s="4">
        <v>13821364.460000001</v>
      </c>
      <c r="L25" s="8">
        <v>49029877.130000003</v>
      </c>
    </row>
    <row r="26" spans="1:12" ht="15" customHeight="1" x14ac:dyDescent="0.25">
      <c r="A26" s="2" t="s">
        <v>45</v>
      </c>
      <c r="B26" s="3">
        <v>45413</v>
      </c>
      <c r="C26" s="2" t="s">
        <v>14</v>
      </c>
      <c r="D26" s="7" t="s">
        <v>21</v>
      </c>
      <c r="E26" s="2" t="s">
        <v>16</v>
      </c>
      <c r="F26" s="2" t="s">
        <v>17</v>
      </c>
      <c r="G26" s="4">
        <v>16638944.49</v>
      </c>
      <c r="H26" s="4">
        <v>4600.88</v>
      </c>
      <c r="I26" s="4">
        <v>1454043.01</v>
      </c>
      <c r="J26" s="4">
        <v>3036270.32</v>
      </c>
      <c r="K26" s="4">
        <v>13903998.66</v>
      </c>
      <c r="L26" s="8">
        <v>33579213.469999999</v>
      </c>
    </row>
    <row r="27" spans="1:12" ht="15" customHeight="1" x14ac:dyDescent="0.25">
      <c r="A27" s="2" t="s">
        <v>46</v>
      </c>
      <c r="B27" s="3">
        <v>45414</v>
      </c>
      <c r="C27" s="2" t="s">
        <v>14</v>
      </c>
      <c r="D27" s="7" t="s">
        <v>24</v>
      </c>
      <c r="E27" s="2" t="s">
        <v>16</v>
      </c>
      <c r="F27" s="2" t="s">
        <v>17</v>
      </c>
      <c r="G27" s="4">
        <v>5535217.3499999996</v>
      </c>
      <c r="H27" s="4">
        <v>1536.6</v>
      </c>
      <c r="I27" s="4">
        <v>479034.72</v>
      </c>
      <c r="J27" s="4">
        <v>963972.91</v>
      </c>
      <c r="K27" s="4">
        <v>4295791.72</v>
      </c>
      <c r="L27" s="8">
        <v>10794981.98</v>
      </c>
    </row>
    <row r="28" spans="1:12" ht="15" customHeight="1" x14ac:dyDescent="0.25">
      <c r="A28" s="2" t="s">
        <v>47</v>
      </c>
      <c r="B28" s="3">
        <v>45419</v>
      </c>
      <c r="C28" s="2" t="s">
        <v>14</v>
      </c>
      <c r="D28" s="7" t="s">
        <v>15</v>
      </c>
      <c r="E28" s="2" t="s">
        <v>16</v>
      </c>
      <c r="F28" s="2" t="s">
        <v>17</v>
      </c>
      <c r="G28" s="4">
        <v>12030401.76</v>
      </c>
      <c r="H28" s="4">
        <v>3306</v>
      </c>
      <c r="I28" s="4">
        <v>883377.42</v>
      </c>
      <c r="J28" s="4">
        <v>1761687.3</v>
      </c>
      <c r="K28" s="4">
        <v>6383622.6200000001</v>
      </c>
      <c r="L28" s="8">
        <v>20175711.68</v>
      </c>
    </row>
    <row r="29" spans="1:12" ht="15" customHeight="1" x14ac:dyDescent="0.25">
      <c r="A29" s="2" t="s">
        <v>48</v>
      </c>
      <c r="B29" s="3">
        <v>45420</v>
      </c>
      <c r="C29" s="2" t="s">
        <v>14</v>
      </c>
      <c r="D29" s="7" t="s">
        <v>24</v>
      </c>
      <c r="E29" s="2" t="s">
        <v>16</v>
      </c>
      <c r="F29" s="2" t="s">
        <v>17</v>
      </c>
      <c r="G29" s="4">
        <v>17769753.699999999</v>
      </c>
      <c r="H29" s="4">
        <v>4881.72</v>
      </c>
      <c r="I29" s="4">
        <v>912716.08</v>
      </c>
      <c r="J29" s="4">
        <v>1894443.77</v>
      </c>
      <c r="K29" s="4">
        <v>5085780.58</v>
      </c>
      <c r="L29" s="8">
        <v>24749978.050000001</v>
      </c>
    </row>
    <row r="30" spans="1:12" ht="15" customHeight="1" x14ac:dyDescent="0.25">
      <c r="A30" s="2" t="s">
        <v>49</v>
      </c>
      <c r="B30" s="3">
        <v>45427</v>
      </c>
      <c r="C30" s="2" t="s">
        <v>14</v>
      </c>
      <c r="D30" s="7" t="s">
        <v>15</v>
      </c>
      <c r="E30" s="2" t="s">
        <v>16</v>
      </c>
      <c r="F30" s="2" t="s">
        <v>17</v>
      </c>
      <c r="G30" s="4">
        <v>40445143.200000003</v>
      </c>
      <c r="H30" s="4">
        <v>11088</v>
      </c>
      <c r="I30" s="4">
        <v>2108181.15</v>
      </c>
      <c r="J30" s="4">
        <v>4404920.41</v>
      </c>
      <c r="K30" s="4">
        <v>3883637.76</v>
      </c>
      <c r="L30" s="8">
        <v>48733701.369999997</v>
      </c>
    </row>
    <row r="31" spans="1:12" ht="15" customHeight="1" x14ac:dyDescent="0.25">
      <c r="A31" s="2" t="s">
        <v>50</v>
      </c>
      <c r="B31" s="3">
        <v>45427</v>
      </c>
      <c r="C31" s="2" t="s">
        <v>14</v>
      </c>
      <c r="D31" s="7" t="s">
        <v>15</v>
      </c>
      <c r="E31" s="2" t="s">
        <v>16</v>
      </c>
      <c r="F31" s="2" t="s">
        <v>17</v>
      </c>
      <c r="G31" s="4">
        <v>0</v>
      </c>
      <c r="H31" s="4">
        <v>0</v>
      </c>
      <c r="I31" s="4">
        <v>35223.93</v>
      </c>
      <c r="J31" s="4">
        <v>51710.25</v>
      </c>
      <c r="K31" s="4">
        <v>200322.38</v>
      </c>
      <c r="L31" s="8">
        <v>252032.63</v>
      </c>
    </row>
    <row r="32" spans="1:12" ht="15" customHeight="1" x14ac:dyDescent="0.25">
      <c r="A32" s="2" t="s">
        <v>51</v>
      </c>
      <c r="B32" s="3">
        <v>45427</v>
      </c>
      <c r="C32" s="2" t="s">
        <v>52</v>
      </c>
      <c r="D32" s="7" t="s">
        <v>15</v>
      </c>
      <c r="E32" s="2" t="s">
        <v>53</v>
      </c>
      <c r="F32" s="2" t="s">
        <v>17</v>
      </c>
      <c r="G32" s="4">
        <v>22396571</v>
      </c>
      <c r="H32" s="4">
        <v>6140</v>
      </c>
      <c r="I32" s="4">
        <v>0</v>
      </c>
      <c r="J32" s="4">
        <v>0</v>
      </c>
      <c r="K32" s="4">
        <v>556558.43999999994</v>
      </c>
      <c r="L32" s="8">
        <v>22953129.440000001</v>
      </c>
    </row>
    <row r="33" spans="1:12" ht="15" customHeight="1" x14ac:dyDescent="0.25">
      <c r="A33" s="2" t="s">
        <v>54</v>
      </c>
      <c r="B33" s="3">
        <v>45467</v>
      </c>
      <c r="C33" s="2" t="s">
        <v>14</v>
      </c>
      <c r="D33" s="7" t="s">
        <v>15</v>
      </c>
      <c r="E33" s="2" t="s">
        <v>16</v>
      </c>
      <c r="F33" s="2" t="s">
        <v>17</v>
      </c>
      <c r="G33" s="4">
        <v>22149364.640000001</v>
      </c>
      <c r="H33" s="4">
        <v>6136</v>
      </c>
      <c r="I33" s="4">
        <v>1543178.3</v>
      </c>
      <c r="J33" s="4">
        <v>3218414.43</v>
      </c>
      <c r="K33" s="4">
        <v>10804390.939999999</v>
      </c>
      <c r="L33" s="8">
        <v>36172170.009999998</v>
      </c>
    </row>
    <row r="34" spans="1:12" ht="15" customHeight="1" x14ac:dyDescent="0.25">
      <c r="A34" s="2" t="s">
        <v>55</v>
      </c>
      <c r="B34" s="3">
        <v>45467</v>
      </c>
      <c r="C34" s="2" t="s">
        <v>52</v>
      </c>
      <c r="D34" s="7" t="s">
        <v>15</v>
      </c>
      <c r="E34" s="2" t="s">
        <v>53</v>
      </c>
      <c r="F34" s="2" t="s">
        <v>17</v>
      </c>
      <c r="G34" s="4">
        <v>16243830</v>
      </c>
      <c r="H34" s="4">
        <v>4500</v>
      </c>
      <c r="I34" s="4">
        <v>52273.19</v>
      </c>
      <c r="J34" s="4">
        <v>0</v>
      </c>
      <c r="K34" s="4">
        <v>10424824.98</v>
      </c>
      <c r="L34" s="8">
        <v>26668654.98</v>
      </c>
    </row>
    <row r="35" spans="1:12" ht="15" customHeight="1" x14ac:dyDescent="0.25">
      <c r="A35" s="2" t="s">
        <v>56</v>
      </c>
      <c r="B35" s="3">
        <v>45467</v>
      </c>
      <c r="C35" s="2" t="s">
        <v>14</v>
      </c>
      <c r="D35" s="7" t="s">
        <v>15</v>
      </c>
      <c r="E35" s="2" t="s">
        <v>16</v>
      </c>
      <c r="F35" s="2" t="s">
        <v>17</v>
      </c>
      <c r="G35" s="4">
        <v>14281502</v>
      </c>
      <c r="H35" s="4">
        <v>3800</v>
      </c>
      <c r="I35" s="4">
        <v>810794.1</v>
      </c>
      <c r="J35" s="4">
        <v>1685447.61</v>
      </c>
      <c r="K35" s="4">
        <v>3579546.33</v>
      </c>
      <c r="L35" s="8">
        <v>19546495.940000001</v>
      </c>
    </row>
    <row r="36" spans="1:12" ht="15" customHeight="1" x14ac:dyDescent="0.25">
      <c r="A36" s="2" t="s">
        <v>57</v>
      </c>
      <c r="B36" s="3">
        <v>45482</v>
      </c>
      <c r="C36" s="2" t="s">
        <v>14</v>
      </c>
      <c r="D36" s="7" t="s">
        <v>24</v>
      </c>
      <c r="E36" s="2" t="s">
        <v>16</v>
      </c>
      <c r="F36" s="2" t="s">
        <v>17</v>
      </c>
      <c r="G36" s="4">
        <v>10113142.09</v>
      </c>
      <c r="H36" s="4">
        <v>2759</v>
      </c>
      <c r="I36" s="4">
        <v>676432.56</v>
      </c>
      <c r="J36" s="4">
        <v>1381028.37</v>
      </c>
      <c r="K36" s="4">
        <v>3602152.07</v>
      </c>
      <c r="L36" s="8">
        <v>15096322.529999999</v>
      </c>
    </row>
    <row r="37" spans="1:12" ht="15" customHeight="1" x14ac:dyDescent="0.25">
      <c r="A37" s="2" t="s">
        <v>58</v>
      </c>
      <c r="B37" s="3">
        <v>45482</v>
      </c>
      <c r="C37" s="2" t="s">
        <v>52</v>
      </c>
      <c r="D37" s="7" t="s">
        <v>24</v>
      </c>
      <c r="E37" s="2" t="s">
        <v>53</v>
      </c>
      <c r="F37" s="2" t="s">
        <v>17</v>
      </c>
      <c r="G37" s="4">
        <v>6611113.8300000001</v>
      </c>
      <c r="H37" s="4">
        <v>1803.6</v>
      </c>
      <c r="I37" s="4">
        <v>44492.37</v>
      </c>
      <c r="J37" s="4">
        <v>0</v>
      </c>
      <c r="K37" s="4">
        <v>667299.17000000004</v>
      </c>
      <c r="L37" s="8">
        <v>7278413</v>
      </c>
    </row>
    <row r="38" spans="1:12" ht="15" customHeight="1" x14ac:dyDescent="0.25">
      <c r="A38" s="2" t="s">
        <v>59</v>
      </c>
      <c r="B38" s="3">
        <v>45489</v>
      </c>
      <c r="C38" s="2" t="s">
        <v>14</v>
      </c>
      <c r="D38" s="7" t="s">
        <v>24</v>
      </c>
      <c r="E38" s="2" t="s">
        <v>16</v>
      </c>
      <c r="F38" s="2" t="s">
        <v>17</v>
      </c>
      <c r="G38" s="4">
        <v>23698942.399999999</v>
      </c>
      <c r="H38" s="4">
        <v>6440</v>
      </c>
      <c r="I38" s="4">
        <v>1348081.45</v>
      </c>
      <c r="J38" s="4">
        <v>2808711.04</v>
      </c>
      <c r="K38" s="4">
        <v>4709171.09</v>
      </c>
      <c r="L38" s="8">
        <v>31216824.530000001</v>
      </c>
    </row>
    <row r="39" spans="1:12" ht="15" customHeight="1" x14ac:dyDescent="0.25">
      <c r="A39" s="2" t="s">
        <v>60</v>
      </c>
      <c r="B39" s="3">
        <v>45491</v>
      </c>
      <c r="C39" s="2" t="s">
        <v>14</v>
      </c>
      <c r="D39" s="7" t="s">
        <v>21</v>
      </c>
      <c r="E39" s="2" t="s">
        <v>16</v>
      </c>
      <c r="F39" s="2" t="s">
        <v>17</v>
      </c>
      <c r="G39" s="4">
        <v>3863438.98</v>
      </c>
      <c r="H39" s="4">
        <v>1047.1500000000001</v>
      </c>
      <c r="I39" s="4">
        <v>239721.55</v>
      </c>
      <c r="J39" s="4">
        <v>468975.25</v>
      </c>
      <c r="K39" s="4">
        <v>549342.71</v>
      </c>
      <c r="L39" s="8">
        <v>4881756.9400000004</v>
      </c>
    </row>
    <row r="40" spans="1:12" ht="15" customHeight="1" x14ac:dyDescent="0.25">
      <c r="A40" s="2" t="s">
        <v>61</v>
      </c>
      <c r="B40" s="3">
        <v>45491</v>
      </c>
      <c r="C40" s="2" t="s">
        <v>14</v>
      </c>
      <c r="D40" s="7" t="s">
        <v>21</v>
      </c>
      <c r="E40" s="2" t="s">
        <v>16</v>
      </c>
      <c r="F40" s="2" t="s">
        <v>17</v>
      </c>
      <c r="G40" s="4">
        <v>23951735.210000001</v>
      </c>
      <c r="H40" s="4">
        <v>6491.9</v>
      </c>
      <c r="I40" s="4">
        <v>1514092.91</v>
      </c>
      <c r="J40" s="4">
        <v>3157335.12</v>
      </c>
      <c r="K40" s="4">
        <v>6422969.46</v>
      </c>
      <c r="L40" s="8">
        <v>33532039.789999999</v>
      </c>
    </row>
    <row r="41" spans="1:12" ht="15" customHeight="1" x14ac:dyDescent="0.25">
      <c r="A41" s="2" t="s">
        <v>62</v>
      </c>
      <c r="B41" s="3">
        <v>45499</v>
      </c>
      <c r="C41" s="2" t="s">
        <v>63</v>
      </c>
      <c r="D41" s="7" t="s">
        <v>15</v>
      </c>
      <c r="E41" s="2" t="s">
        <v>53</v>
      </c>
      <c r="F41" s="2" t="s">
        <v>17</v>
      </c>
      <c r="G41" s="4">
        <v>0</v>
      </c>
      <c r="H41" s="4">
        <v>0</v>
      </c>
      <c r="I41" s="4">
        <v>1386846.63</v>
      </c>
      <c r="J41" s="4">
        <v>129681.2</v>
      </c>
      <c r="K41" s="4">
        <v>1386846.63</v>
      </c>
      <c r="L41" s="8">
        <v>1516527.83</v>
      </c>
    </row>
    <row r="42" spans="1:12" ht="15" customHeight="1" x14ac:dyDescent="0.25">
      <c r="A42" s="2" t="s">
        <v>64</v>
      </c>
      <c r="B42" s="3">
        <v>45506</v>
      </c>
      <c r="C42" s="2" t="s">
        <v>14</v>
      </c>
      <c r="D42" s="7" t="s">
        <v>21</v>
      </c>
      <c r="E42" s="2" t="s">
        <v>16</v>
      </c>
      <c r="F42" s="2" t="s">
        <v>17</v>
      </c>
      <c r="G42" s="4">
        <v>22512096.350000001</v>
      </c>
      <c r="H42" s="4">
        <v>6164.59</v>
      </c>
      <c r="I42" s="4">
        <v>1373757.02</v>
      </c>
      <c r="J42" s="4">
        <v>2862629.75</v>
      </c>
      <c r="K42" s="4">
        <v>6109853.0199999996</v>
      </c>
      <c r="L42" s="8">
        <v>31484579.120000001</v>
      </c>
    </row>
    <row r="43" spans="1:12" ht="15" customHeight="1" x14ac:dyDescent="0.25">
      <c r="A43" s="2" t="s">
        <v>65</v>
      </c>
      <c r="B43" s="3">
        <v>45523</v>
      </c>
      <c r="C43" s="2" t="s">
        <v>14</v>
      </c>
      <c r="D43" s="7" t="s">
        <v>15</v>
      </c>
      <c r="E43" s="2" t="s">
        <v>16</v>
      </c>
      <c r="F43" s="2" t="s">
        <v>17</v>
      </c>
      <c r="G43" s="4">
        <v>684008.78</v>
      </c>
      <c r="H43" s="4">
        <v>182</v>
      </c>
      <c r="I43" s="4">
        <v>82308.399999999994</v>
      </c>
      <c r="J43" s="4">
        <v>150587.63</v>
      </c>
      <c r="K43" s="4">
        <v>966308.4</v>
      </c>
      <c r="L43" s="8">
        <v>1800904.81</v>
      </c>
    </row>
    <row r="44" spans="1:12" ht="15" customHeight="1" x14ac:dyDescent="0.25">
      <c r="A44" s="2" t="s">
        <v>66</v>
      </c>
      <c r="B44" s="3">
        <v>45530</v>
      </c>
      <c r="C44" s="2" t="s">
        <v>14</v>
      </c>
      <c r="D44" s="7" t="s">
        <v>21</v>
      </c>
      <c r="E44" s="2" t="s">
        <v>16</v>
      </c>
      <c r="F44" s="2" t="s">
        <v>17</v>
      </c>
      <c r="G44" s="4">
        <v>81818255.230000004</v>
      </c>
      <c r="H44" s="4">
        <v>21762.2</v>
      </c>
      <c r="I44" s="4">
        <v>4298232.45</v>
      </c>
      <c r="J44" s="4">
        <v>9004028.1400000006</v>
      </c>
      <c r="K44" s="4">
        <v>12920713.48</v>
      </c>
      <c r="L44" s="8">
        <v>103742996.84999999</v>
      </c>
    </row>
    <row r="45" spans="1:12" ht="15" customHeight="1" x14ac:dyDescent="0.25">
      <c r="A45" s="2" t="s">
        <v>67</v>
      </c>
      <c r="B45" s="3">
        <v>45537</v>
      </c>
      <c r="C45" s="2" t="s">
        <v>14</v>
      </c>
      <c r="D45" s="7" t="s">
        <v>26</v>
      </c>
      <c r="E45" s="2" t="s">
        <v>16</v>
      </c>
      <c r="F45" s="2" t="s">
        <v>17</v>
      </c>
      <c r="G45" s="4">
        <v>19503716.260000002</v>
      </c>
      <c r="H45" s="4">
        <v>5183.34</v>
      </c>
      <c r="I45" s="4">
        <v>1095094.27</v>
      </c>
      <c r="J45" s="4">
        <v>2277437.9700000002</v>
      </c>
      <c r="K45" s="4">
        <v>4827768.3499999996</v>
      </c>
      <c r="L45" s="8">
        <v>26608922.579999998</v>
      </c>
    </row>
    <row r="46" spans="1:12" ht="15" customHeight="1" x14ac:dyDescent="0.25">
      <c r="A46" s="2" t="s">
        <v>68</v>
      </c>
      <c r="B46" s="3">
        <v>45566</v>
      </c>
      <c r="C46" s="2" t="s">
        <v>14</v>
      </c>
      <c r="D46" s="7" t="s">
        <v>21</v>
      </c>
      <c r="E46" s="2" t="s">
        <v>16</v>
      </c>
      <c r="F46" s="2" t="s">
        <v>17</v>
      </c>
      <c r="G46" s="4">
        <v>6384159.1600000001</v>
      </c>
      <c r="H46" s="4">
        <v>1696.25</v>
      </c>
      <c r="I46" s="4">
        <v>497583.22</v>
      </c>
      <c r="J46" s="4">
        <v>1027704.77</v>
      </c>
      <c r="K46" s="4">
        <v>3059505.2</v>
      </c>
      <c r="L46" s="8">
        <v>10471369.130000001</v>
      </c>
    </row>
    <row r="47" spans="1:12" ht="15" customHeight="1" x14ac:dyDescent="0.25">
      <c r="A47" s="2" t="s">
        <v>69</v>
      </c>
      <c r="B47" s="3">
        <v>45581</v>
      </c>
      <c r="C47" s="2" t="s">
        <v>14</v>
      </c>
      <c r="D47" s="7" t="s">
        <v>15</v>
      </c>
      <c r="E47" s="2" t="s">
        <v>16</v>
      </c>
      <c r="F47" s="2" t="s">
        <v>17</v>
      </c>
      <c r="G47" s="4">
        <v>4483107.76</v>
      </c>
      <c r="H47" s="4">
        <v>1214</v>
      </c>
      <c r="I47" s="4">
        <v>339783.39</v>
      </c>
      <c r="J47" s="4">
        <v>691285.12</v>
      </c>
      <c r="K47" s="4">
        <v>2517845.39</v>
      </c>
      <c r="L47" s="8">
        <v>7692238.2699999996</v>
      </c>
    </row>
    <row r="48" spans="1:12" ht="15" customHeight="1" x14ac:dyDescent="0.25">
      <c r="A48" s="2" t="s">
        <v>70</v>
      </c>
      <c r="B48" s="3">
        <v>45583</v>
      </c>
      <c r="C48" s="2" t="s">
        <v>14</v>
      </c>
      <c r="D48" s="7" t="s">
        <v>24</v>
      </c>
      <c r="E48" s="2" t="s">
        <v>16</v>
      </c>
      <c r="F48" s="2" t="s">
        <v>17</v>
      </c>
      <c r="G48" s="4">
        <v>15815220.800000001</v>
      </c>
      <c r="H48" s="4">
        <v>4295</v>
      </c>
      <c r="I48" s="4">
        <v>1059959.96</v>
      </c>
      <c r="J48" s="4">
        <v>2198615.92</v>
      </c>
      <c r="K48" s="4">
        <v>5217834.26</v>
      </c>
      <c r="L48" s="8">
        <v>23231670.98</v>
      </c>
    </row>
    <row r="49" spans="1:12" ht="15" customHeight="1" x14ac:dyDescent="0.25">
      <c r="A49" s="2" t="s">
        <v>71</v>
      </c>
      <c r="B49" s="3">
        <v>45583</v>
      </c>
      <c r="C49" s="2" t="s">
        <v>52</v>
      </c>
      <c r="D49" s="7" t="s">
        <v>24</v>
      </c>
      <c r="E49" s="2" t="s">
        <v>53</v>
      </c>
      <c r="F49" s="2" t="s">
        <v>17</v>
      </c>
      <c r="G49" s="4">
        <v>6329770.5599999996</v>
      </c>
      <c r="H49" s="4">
        <v>1719</v>
      </c>
      <c r="I49" s="4">
        <v>17734.66</v>
      </c>
      <c r="J49" s="4">
        <v>0</v>
      </c>
      <c r="K49" s="4">
        <v>1592029.36</v>
      </c>
      <c r="L49" s="8">
        <v>7921799.9199999999</v>
      </c>
    </row>
    <row r="50" spans="1:12" ht="15" customHeight="1" x14ac:dyDescent="0.25">
      <c r="A50" s="2" t="s">
        <v>72</v>
      </c>
      <c r="B50" s="3">
        <v>45617</v>
      </c>
      <c r="C50" s="2" t="s">
        <v>14</v>
      </c>
      <c r="D50" s="7" t="s">
        <v>15</v>
      </c>
      <c r="E50" s="2" t="s">
        <v>16</v>
      </c>
      <c r="F50" s="2" t="s">
        <v>17</v>
      </c>
      <c r="G50" s="4">
        <v>47797793.520000003</v>
      </c>
      <c r="H50" s="4">
        <v>13242</v>
      </c>
      <c r="I50" s="4">
        <v>2673211.64</v>
      </c>
      <c r="J50" s="4">
        <v>5564184.4299999997</v>
      </c>
      <c r="K50" s="4">
        <v>7633829.8200000003</v>
      </c>
      <c r="L50" s="8">
        <v>60995807.770000003</v>
      </c>
    </row>
    <row r="51" spans="1:12" ht="15" customHeight="1" x14ac:dyDescent="0.25">
      <c r="A51" s="2" t="s">
        <v>46</v>
      </c>
      <c r="B51" s="3">
        <v>45660</v>
      </c>
      <c r="C51" s="2" t="s">
        <v>14</v>
      </c>
      <c r="D51" s="7" t="s">
        <v>24</v>
      </c>
      <c r="E51" s="2" t="s">
        <v>16</v>
      </c>
      <c r="F51" s="2" t="s">
        <v>17</v>
      </c>
      <c r="G51" s="4">
        <v>19900673.350000001</v>
      </c>
      <c r="H51" s="4">
        <v>5511.4</v>
      </c>
      <c r="I51" s="4">
        <v>1312825.05</v>
      </c>
      <c r="J51" s="4">
        <v>2724592.61</v>
      </c>
      <c r="K51" s="4">
        <v>8587223.0500000007</v>
      </c>
      <c r="L51" s="8">
        <v>31212489.010000002</v>
      </c>
    </row>
    <row r="52" spans="1:12" ht="15" customHeight="1" x14ac:dyDescent="0.25">
      <c r="A52" s="2" t="s">
        <v>43</v>
      </c>
      <c r="B52" s="3">
        <v>45671</v>
      </c>
      <c r="C52" s="2" t="s">
        <v>14</v>
      </c>
      <c r="D52" s="7" t="s">
        <v>15</v>
      </c>
      <c r="E52" s="2" t="s">
        <v>16</v>
      </c>
      <c r="F52" s="2" t="s">
        <v>17</v>
      </c>
      <c r="G52" s="4">
        <v>12334628.300000001</v>
      </c>
      <c r="H52" s="4">
        <v>3524.25</v>
      </c>
      <c r="I52" s="4">
        <v>1272851.29</v>
      </c>
      <c r="J52" s="4">
        <v>2672987.71</v>
      </c>
      <c r="K52" s="4">
        <v>20872459.289999999</v>
      </c>
      <c r="L52" s="8">
        <v>35880075.299999997</v>
      </c>
    </row>
    <row r="53" spans="1:12" ht="15" customHeight="1" x14ac:dyDescent="0.25">
      <c r="A53" s="2" t="s">
        <v>73</v>
      </c>
      <c r="B53" s="3">
        <v>45748</v>
      </c>
      <c r="C53" s="2" t="s">
        <v>74</v>
      </c>
      <c r="D53" s="7" t="s">
        <v>19</v>
      </c>
      <c r="E53" s="2" t="s">
        <v>16</v>
      </c>
      <c r="F53" s="2" t="s">
        <v>17</v>
      </c>
      <c r="G53" s="4">
        <v>2889198.45</v>
      </c>
      <c r="H53" s="4">
        <v>765</v>
      </c>
      <c r="I53" s="4">
        <v>217794.11</v>
      </c>
      <c r="J53" s="4">
        <v>457367.62</v>
      </c>
      <c r="K53" s="4">
        <v>2124238.11</v>
      </c>
      <c r="L53" s="8">
        <v>5470804.1799999997</v>
      </c>
    </row>
    <row r="54" spans="1:12" ht="15" customHeight="1" x14ac:dyDescent="0.25">
      <c r="A54" s="2" t="s">
        <v>75</v>
      </c>
      <c r="B54" s="3">
        <v>45758</v>
      </c>
      <c r="C54" s="2" t="s">
        <v>74</v>
      </c>
      <c r="D54" s="7" t="s">
        <v>21</v>
      </c>
      <c r="E54" s="2" t="s">
        <v>16</v>
      </c>
      <c r="F54" s="2" t="s">
        <v>17</v>
      </c>
      <c r="G54" s="4">
        <v>11983263.6</v>
      </c>
      <c r="H54" s="4">
        <v>3080</v>
      </c>
      <c r="I54" s="4">
        <v>1026785.71</v>
      </c>
      <c r="J54" s="4">
        <v>2156249.9900000002</v>
      </c>
      <c r="K54" s="4">
        <v>1323785.71</v>
      </c>
      <c r="L54" s="8">
        <v>15463299.300000001</v>
      </c>
    </row>
    <row r="55" spans="1:12" ht="12.75" customHeight="1" x14ac:dyDescent="0.25">
      <c r="A55" s="5">
        <v>51</v>
      </c>
      <c r="B55" s="9"/>
      <c r="C55" s="9"/>
      <c r="D55" s="9"/>
      <c r="E55" s="9"/>
      <c r="F55" s="9"/>
      <c r="G55" s="6">
        <v>1404487208.5999999</v>
      </c>
      <c r="H55" s="6">
        <v>373708.9</v>
      </c>
      <c r="I55" s="6">
        <v>79222483.329999998</v>
      </c>
      <c r="J55" s="6">
        <v>162503902.49000001</v>
      </c>
      <c r="K55" s="6">
        <v>312328952.85000002</v>
      </c>
      <c r="L55" s="10">
        <v>1879320063.9300001</v>
      </c>
    </row>
  </sheetData>
  <mergeCells count="1">
    <mergeCell ref="A1:C1"/>
  </mergeCells>
  <pageMargins left="0.5" right="0.30000001192092901" top="0.5" bottom="0.5" header="0.3" footer="0.3"/>
  <pageSetup paperSize="9" scale="9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80CC-9F61-4B49-8C77-B4953E51F4BE}">
  <sheetPr filterMode="1"/>
  <dimension ref="A1:J67"/>
  <sheetViews>
    <sheetView tabSelected="1" workbookViewId="0">
      <selection activeCell="F71" sqref="F71"/>
    </sheetView>
  </sheetViews>
  <sheetFormatPr defaultRowHeight="12.95" customHeight="1" x14ac:dyDescent="0.25"/>
  <cols>
    <col min="1" max="1" width="11.5703125" bestFit="1" customWidth="1"/>
    <col min="2" max="2" width="23.28515625" customWidth="1"/>
    <col min="3" max="3" width="23.5703125" customWidth="1"/>
    <col min="4" max="4" width="13.85546875" bestFit="1" customWidth="1"/>
    <col min="5" max="5" width="11.42578125" bestFit="1" customWidth="1"/>
    <col min="6" max="6" width="15.7109375" customWidth="1"/>
    <col min="7" max="7" width="10.28515625" bestFit="1" customWidth="1"/>
    <col min="8" max="8" width="12.140625" bestFit="1" customWidth="1"/>
    <col min="9" max="9" width="14.42578125" bestFit="1" customWidth="1"/>
  </cols>
  <sheetData>
    <row r="1" spans="1:10" ht="12.95" customHeight="1" x14ac:dyDescent="0.25">
      <c r="A1" s="14" t="s">
        <v>189</v>
      </c>
      <c r="B1" s="15" t="s">
        <v>78</v>
      </c>
      <c r="C1" s="15" t="s">
        <v>2</v>
      </c>
      <c r="D1" s="15" t="s">
        <v>79</v>
      </c>
      <c r="E1" s="15" t="s">
        <v>80</v>
      </c>
      <c r="F1" s="15" t="s">
        <v>81</v>
      </c>
      <c r="G1" s="15" t="s">
        <v>82</v>
      </c>
      <c r="H1" s="15" t="s">
        <v>83</v>
      </c>
      <c r="I1" s="15" t="s">
        <v>84</v>
      </c>
      <c r="J1" s="13"/>
    </row>
    <row r="2" spans="1:10" ht="12.95" customHeight="1" x14ac:dyDescent="0.25">
      <c r="A2" s="16">
        <v>1</v>
      </c>
      <c r="B2" s="17" t="s">
        <v>76</v>
      </c>
      <c r="C2" s="18">
        <v>45306</v>
      </c>
      <c r="D2" s="16">
        <v>700</v>
      </c>
      <c r="E2" s="16" t="s">
        <v>85</v>
      </c>
      <c r="F2" s="16" t="s">
        <v>86</v>
      </c>
      <c r="G2" s="16">
        <v>3</v>
      </c>
      <c r="H2" s="16">
        <v>10323.499</v>
      </c>
      <c r="I2" s="16">
        <v>0</v>
      </c>
    </row>
    <row r="3" spans="1:10" ht="12.95" hidden="1" customHeight="1" x14ac:dyDescent="0.25">
      <c r="A3" s="16">
        <v>2</v>
      </c>
      <c r="B3" s="17" t="s">
        <v>77</v>
      </c>
      <c r="C3" s="18">
        <v>45307</v>
      </c>
      <c r="D3" s="16">
        <v>400</v>
      </c>
      <c r="E3" s="16" t="s">
        <v>85</v>
      </c>
      <c r="F3" s="16" t="s">
        <v>87</v>
      </c>
      <c r="G3" s="16">
        <v>4</v>
      </c>
      <c r="H3" s="16">
        <v>9624.9230000000007</v>
      </c>
      <c r="I3" s="16">
        <v>5085985.0317000002</v>
      </c>
    </row>
    <row r="4" spans="1:10" ht="12.95" hidden="1" customHeight="1" x14ac:dyDescent="0.25">
      <c r="A4" s="16">
        <v>3</v>
      </c>
      <c r="B4" s="17" t="s">
        <v>88</v>
      </c>
      <c r="C4" s="18">
        <v>45447</v>
      </c>
      <c r="D4" s="16">
        <v>451</v>
      </c>
      <c r="E4" s="16" t="s">
        <v>89</v>
      </c>
      <c r="F4" s="16" t="s">
        <v>86</v>
      </c>
      <c r="G4" s="16">
        <v>1</v>
      </c>
      <c r="H4" s="16">
        <v>1313.502</v>
      </c>
      <c r="I4" s="16">
        <v>692296.80339999998</v>
      </c>
    </row>
    <row r="5" spans="1:10" ht="12.95" hidden="1" customHeight="1" x14ac:dyDescent="0.25">
      <c r="A5" s="16">
        <v>4</v>
      </c>
      <c r="B5" s="17" t="s">
        <v>90</v>
      </c>
      <c r="C5" s="18">
        <v>45491</v>
      </c>
      <c r="D5" s="16">
        <v>451</v>
      </c>
      <c r="E5" s="16" t="s">
        <v>85</v>
      </c>
      <c r="F5" s="16" t="s">
        <v>86</v>
      </c>
      <c r="G5" s="16">
        <v>2</v>
      </c>
      <c r="H5" s="16">
        <v>8893.777</v>
      </c>
      <c r="I5" s="16">
        <v>4660828.0307999998</v>
      </c>
    </row>
    <row r="6" spans="1:10" ht="12.95" hidden="1" customHeight="1" x14ac:dyDescent="0.25">
      <c r="A6" s="16">
        <v>5</v>
      </c>
      <c r="B6" s="17" t="s">
        <v>91</v>
      </c>
      <c r="C6" s="18">
        <v>45496</v>
      </c>
      <c r="D6" s="16">
        <v>451</v>
      </c>
      <c r="E6" s="16" t="s">
        <v>92</v>
      </c>
      <c r="F6" s="16" t="s">
        <v>86</v>
      </c>
      <c r="G6" s="16">
        <v>4</v>
      </c>
      <c r="H6" s="16">
        <v>7913.0370000000003</v>
      </c>
      <c r="I6" s="16">
        <v>4146192.4811</v>
      </c>
    </row>
    <row r="7" spans="1:10" ht="12.95" hidden="1" customHeight="1" x14ac:dyDescent="0.25">
      <c r="A7" s="16">
        <v>6</v>
      </c>
      <c r="B7" s="17" t="s">
        <v>93</v>
      </c>
      <c r="C7" s="18">
        <v>45506</v>
      </c>
      <c r="D7" s="16">
        <v>400</v>
      </c>
      <c r="E7" s="16" t="s">
        <v>94</v>
      </c>
      <c r="F7" s="16" t="s">
        <v>87</v>
      </c>
      <c r="G7" s="16">
        <v>3</v>
      </c>
      <c r="H7" s="16">
        <v>8063.9660000000003</v>
      </c>
      <c r="I7" s="16">
        <v>4225786.7686000001</v>
      </c>
    </row>
    <row r="8" spans="1:10" ht="12.95" hidden="1" customHeight="1" x14ac:dyDescent="0.25">
      <c r="A8" s="16">
        <v>7</v>
      </c>
      <c r="B8" s="17" t="s">
        <v>95</v>
      </c>
      <c r="C8" s="18">
        <v>45513</v>
      </c>
      <c r="D8" s="16">
        <v>400</v>
      </c>
      <c r="E8" s="16" t="s">
        <v>94</v>
      </c>
      <c r="F8" s="16" t="s">
        <v>87</v>
      </c>
      <c r="G8" s="16">
        <v>10</v>
      </c>
      <c r="H8" s="16">
        <v>25362.877</v>
      </c>
      <c r="I8" s="16">
        <v>13291660.594000001</v>
      </c>
    </row>
    <row r="9" spans="1:10" ht="12.95" hidden="1" customHeight="1" x14ac:dyDescent="0.25">
      <c r="A9" s="16">
        <v>8</v>
      </c>
      <c r="B9" s="17" t="s">
        <v>96</v>
      </c>
      <c r="C9" s="18">
        <v>45534</v>
      </c>
      <c r="D9" s="16">
        <v>400</v>
      </c>
      <c r="E9" s="16" t="s">
        <v>97</v>
      </c>
      <c r="F9" s="16" t="s">
        <v>87</v>
      </c>
      <c r="G9" s="16">
        <v>4</v>
      </c>
      <c r="H9" s="16">
        <v>6416.0060000000003</v>
      </c>
      <c r="I9" s="16">
        <v>3361932.2341999998</v>
      </c>
    </row>
    <row r="10" spans="1:10" ht="12.95" hidden="1" customHeight="1" x14ac:dyDescent="0.25">
      <c r="A10" s="16">
        <v>9</v>
      </c>
      <c r="B10" s="17" t="s">
        <v>98</v>
      </c>
      <c r="C10" s="18">
        <v>45566</v>
      </c>
      <c r="D10" s="16">
        <v>400</v>
      </c>
      <c r="E10" s="16" t="s">
        <v>94</v>
      </c>
      <c r="F10" s="16" t="s">
        <v>87</v>
      </c>
      <c r="G10" s="16">
        <v>1</v>
      </c>
      <c r="H10" s="16">
        <v>2894.799</v>
      </c>
      <c r="I10" s="16">
        <v>1517087.9918</v>
      </c>
    </row>
    <row r="11" spans="1:10" ht="12.95" hidden="1" customHeight="1" x14ac:dyDescent="0.25">
      <c r="A11" s="19">
        <v>10</v>
      </c>
      <c r="B11" s="20" t="s">
        <v>99</v>
      </c>
      <c r="C11" s="21">
        <v>45022</v>
      </c>
      <c r="D11" s="19">
        <v>400</v>
      </c>
      <c r="E11" s="19" t="s">
        <v>100</v>
      </c>
      <c r="F11" s="19" t="s">
        <v>101</v>
      </c>
      <c r="G11" s="19">
        <v>2</v>
      </c>
      <c r="H11" s="19">
        <v>21427.384999999998</v>
      </c>
      <c r="I11" s="19">
        <v>11669956.9647</v>
      </c>
    </row>
    <row r="12" spans="1:10" ht="12.95" hidden="1" customHeight="1" x14ac:dyDescent="0.25">
      <c r="A12" s="16">
        <v>11</v>
      </c>
      <c r="B12" s="17" t="s">
        <v>102</v>
      </c>
      <c r="C12" s="18">
        <v>45022</v>
      </c>
      <c r="D12" s="16">
        <v>400</v>
      </c>
      <c r="E12" s="16" t="s">
        <v>97</v>
      </c>
      <c r="F12" s="16" t="s">
        <v>101</v>
      </c>
      <c r="G12" s="16">
        <v>6</v>
      </c>
      <c r="H12" s="16">
        <v>5906.9139999999998</v>
      </c>
      <c r="I12" s="16">
        <v>3217070.9761000001</v>
      </c>
      <c r="J12" s="13"/>
    </row>
    <row r="13" spans="1:10" ht="12.95" hidden="1" customHeight="1" x14ac:dyDescent="0.25">
      <c r="A13" s="16">
        <v>12</v>
      </c>
      <c r="B13" s="17" t="s">
        <v>103</v>
      </c>
      <c r="C13" s="18">
        <v>45022</v>
      </c>
      <c r="D13" s="16">
        <v>400</v>
      </c>
      <c r="E13" s="16" t="s">
        <v>92</v>
      </c>
      <c r="F13" s="16" t="s">
        <v>101</v>
      </c>
      <c r="G13" s="16">
        <v>12</v>
      </c>
      <c r="H13" s="16">
        <v>28717.798999999999</v>
      </c>
      <c r="I13" s="16">
        <v>15640521.6218</v>
      </c>
    </row>
    <row r="14" spans="1:10" ht="12.95" hidden="1" customHeight="1" x14ac:dyDescent="0.25">
      <c r="A14" s="16">
        <v>13</v>
      </c>
      <c r="B14" s="17" t="s">
        <v>104</v>
      </c>
      <c r="C14" s="18">
        <v>45022</v>
      </c>
      <c r="D14" s="16">
        <v>400</v>
      </c>
      <c r="E14" s="16" t="s">
        <v>105</v>
      </c>
      <c r="F14" s="16" t="s">
        <v>101</v>
      </c>
      <c r="G14" s="16">
        <v>18</v>
      </c>
      <c r="H14" s="16">
        <v>25033.973999999998</v>
      </c>
      <c r="I14" s="16">
        <v>13634207.271400001</v>
      </c>
    </row>
    <row r="15" spans="1:10" ht="12.95" hidden="1" customHeight="1" x14ac:dyDescent="0.25">
      <c r="A15" s="16">
        <v>14</v>
      </c>
      <c r="B15" s="17" t="s">
        <v>106</v>
      </c>
      <c r="C15" s="18">
        <v>45127</v>
      </c>
      <c r="D15" s="16">
        <v>400</v>
      </c>
      <c r="E15" s="16" t="s">
        <v>107</v>
      </c>
      <c r="F15" s="16" t="s">
        <v>87</v>
      </c>
      <c r="G15" s="16">
        <v>5</v>
      </c>
      <c r="H15" s="16">
        <v>42704.584000000003</v>
      </c>
      <c r="I15" s="16">
        <v>22763862.5713</v>
      </c>
    </row>
    <row r="16" spans="1:10" ht="12.95" hidden="1" customHeight="1" x14ac:dyDescent="0.25">
      <c r="A16" s="16">
        <v>15</v>
      </c>
      <c r="B16" s="17" t="s">
        <v>108</v>
      </c>
      <c r="C16" s="18">
        <v>45124</v>
      </c>
      <c r="D16" s="16">
        <v>400</v>
      </c>
      <c r="E16" s="16" t="s">
        <v>97</v>
      </c>
      <c r="F16" s="16" t="s">
        <v>87</v>
      </c>
      <c r="G16" s="16">
        <v>9</v>
      </c>
      <c r="H16" s="16">
        <v>4880.9390000000003</v>
      </c>
      <c r="I16" s="16">
        <v>2600512.2976000002</v>
      </c>
    </row>
    <row r="17" spans="1:10" ht="12.95" hidden="1" customHeight="1" x14ac:dyDescent="0.25">
      <c r="A17" s="16">
        <v>16</v>
      </c>
      <c r="B17" s="17" t="s">
        <v>109</v>
      </c>
      <c r="C17" s="18">
        <v>45127</v>
      </c>
      <c r="D17" s="16">
        <v>400</v>
      </c>
      <c r="E17" s="16" t="s">
        <v>92</v>
      </c>
      <c r="F17" s="16" t="s">
        <v>87</v>
      </c>
      <c r="G17" s="16">
        <v>15</v>
      </c>
      <c r="H17" s="16">
        <v>36917.841999999997</v>
      </c>
      <c r="I17" s="16">
        <v>19679214.300299998</v>
      </c>
    </row>
    <row r="18" spans="1:10" ht="12.95" hidden="1" customHeight="1" x14ac:dyDescent="0.25">
      <c r="A18" s="16">
        <v>17</v>
      </c>
      <c r="B18" s="17" t="s">
        <v>110</v>
      </c>
      <c r="C18" s="18">
        <v>45124</v>
      </c>
      <c r="D18" s="16">
        <v>400</v>
      </c>
      <c r="E18" s="16" t="s">
        <v>105</v>
      </c>
      <c r="F18" s="16" t="s">
        <v>87</v>
      </c>
      <c r="G18" s="16">
        <v>8</v>
      </c>
      <c r="H18" s="16">
        <v>14995.995000000001</v>
      </c>
      <c r="I18" s="16">
        <v>7989705.1103999997</v>
      </c>
    </row>
    <row r="19" spans="1:10" ht="12.95" customHeight="1" x14ac:dyDescent="0.25">
      <c r="A19" s="16">
        <v>18</v>
      </c>
      <c r="B19" s="17" t="s">
        <v>111</v>
      </c>
      <c r="C19" s="18">
        <v>45132</v>
      </c>
      <c r="D19" s="16">
        <v>700</v>
      </c>
      <c r="E19" s="16" t="s">
        <v>107</v>
      </c>
      <c r="F19" s="16" t="s">
        <v>112</v>
      </c>
      <c r="G19" s="16">
        <v>1</v>
      </c>
      <c r="H19" s="16">
        <v>1738.365</v>
      </c>
      <c r="I19" s="16">
        <v>0</v>
      </c>
    </row>
    <row r="20" spans="1:10" ht="12.95" hidden="1" customHeight="1" x14ac:dyDescent="0.25">
      <c r="A20" s="16">
        <v>19</v>
      </c>
      <c r="B20" s="17" t="s">
        <v>113</v>
      </c>
      <c r="C20" s="18">
        <v>45132</v>
      </c>
      <c r="D20" s="16">
        <v>400</v>
      </c>
      <c r="E20" s="16" t="s">
        <v>114</v>
      </c>
      <c r="F20" s="16" t="s">
        <v>87</v>
      </c>
      <c r="G20" s="16">
        <v>3</v>
      </c>
      <c r="H20" s="16">
        <v>12521.253000000001</v>
      </c>
      <c r="I20" s="16">
        <v>6687937.6903999997</v>
      </c>
    </row>
    <row r="21" spans="1:10" ht="12.95" hidden="1" customHeight="1" x14ac:dyDescent="0.25">
      <c r="A21" s="19">
        <v>20</v>
      </c>
      <c r="B21" s="20" t="s">
        <v>115</v>
      </c>
      <c r="C21" s="21">
        <v>45232</v>
      </c>
      <c r="D21" s="19">
        <v>400</v>
      </c>
      <c r="E21" s="19" t="s">
        <v>107</v>
      </c>
      <c r="F21" s="19" t="s">
        <v>116</v>
      </c>
      <c r="G21" s="19">
        <v>1</v>
      </c>
      <c r="H21" s="19">
        <v>1896.329</v>
      </c>
      <c r="I21" s="19">
        <v>1013359.4282</v>
      </c>
    </row>
    <row r="22" spans="1:10" ht="12.95" hidden="1" customHeight="1" x14ac:dyDescent="0.25">
      <c r="A22" s="16">
        <v>21</v>
      </c>
      <c r="B22" s="17" t="s">
        <v>117</v>
      </c>
      <c r="C22" s="18">
        <v>45233</v>
      </c>
      <c r="D22" s="16">
        <v>400</v>
      </c>
      <c r="E22" s="16" t="s">
        <v>97</v>
      </c>
      <c r="F22" s="16" t="s">
        <v>116</v>
      </c>
      <c r="G22" s="16">
        <v>6</v>
      </c>
      <c r="H22" s="16">
        <v>31702.903999999999</v>
      </c>
      <c r="I22" s="16">
        <v>16935683.643399999</v>
      </c>
      <c r="J22" s="13"/>
    </row>
    <row r="23" spans="1:10" ht="12.95" hidden="1" customHeight="1" x14ac:dyDescent="0.25">
      <c r="A23" s="16">
        <v>22</v>
      </c>
      <c r="B23" s="17" t="s">
        <v>118</v>
      </c>
      <c r="C23" s="18">
        <v>45233</v>
      </c>
      <c r="D23" s="16">
        <v>400</v>
      </c>
      <c r="E23" s="16" t="s">
        <v>100</v>
      </c>
      <c r="F23" s="16" t="s">
        <v>116</v>
      </c>
      <c r="G23" s="16">
        <v>1</v>
      </c>
      <c r="H23" s="16">
        <v>5269.134</v>
      </c>
      <c r="I23" s="16">
        <v>2814770.0509000001</v>
      </c>
    </row>
    <row r="24" spans="1:10" ht="12.95" hidden="1" customHeight="1" x14ac:dyDescent="0.25">
      <c r="A24" s="16">
        <v>23</v>
      </c>
      <c r="B24" s="17" t="s">
        <v>119</v>
      </c>
      <c r="C24" s="18">
        <v>45482</v>
      </c>
      <c r="D24" s="16">
        <v>400</v>
      </c>
      <c r="E24" s="16" t="s">
        <v>92</v>
      </c>
      <c r="F24" s="16" t="s">
        <v>87</v>
      </c>
      <c r="G24" s="16">
        <v>1</v>
      </c>
      <c r="H24" s="16">
        <v>315.75</v>
      </c>
      <c r="I24" s="16">
        <v>165462.73689999999</v>
      </c>
    </row>
    <row r="25" spans="1:10" ht="12.95" customHeight="1" x14ac:dyDescent="0.25">
      <c r="A25" s="16">
        <v>24</v>
      </c>
      <c r="B25" s="17" t="s">
        <v>120</v>
      </c>
      <c r="C25" s="18">
        <v>45482</v>
      </c>
      <c r="D25" s="16">
        <v>700</v>
      </c>
      <c r="E25" s="16" t="s">
        <v>92</v>
      </c>
      <c r="F25" s="16" t="s">
        <v>86</v>
      </c>
      <c r="G25" s="16">
        <v>9</v>
      </c>
      <c r="H25" s="16">
        <v>10024.838</v>
      </c>
      <c r="I25" s="16">
        <v>0</v>
      </c>
    </row>
    <row r="26" spans="1:10" ht="12.95" hidden="1" customHeight="1" x14ac:dyDescent="0.25">
      <c r="A26" s="16">
        <v>25</v>
      </c>
      <c r="B26" s="17" t="s">
        <v>121</v>
      </c>
      <c r="C26" s="18">
        <v>45482</v>
      </c>
      <c r="D26" s="16">
        <v>400</v>
      </c>
      <c r="E26" s="16" t="s">
        <v>92</v>
      </c>
      <c r="F26" s="16" t="s">
        <v>87</v>
      </c>
      <c r="G26" s="16">
        <v>10</v>
      </c>
      <c r="H26" s="16">
        <v>3574.6</v>
      </c>
      <c r="I26" s="16">
        <v>1873198.1964</v>
      </c>
    </row>
    <row r="27" spans="1:10" ht="12.95" hidden="1" customHeight="1" x14ac:dyDescent="0.25">
      <c r="A27" s="16">
        <v>26</v>
      </c>
      <c r="B27" s="17" t="s">
        <v>122</v>
      </c>
      <c r="C27" s="18">
        <v>45671</v>
      </c>
      <c r="D27" s="16">
        <v>451</v>
      </c>
      <c r="E27" s="16" t="s">
        <v>107</v>
      </c>
      <c r="F27" s="16" t="s">
        <v>112</v>
      </c>
      <c r="G27" s="16">
        <v>1</v>
      </c>
      <c r="H27" s="16">
        <v>1602.586</v>
      </c>
      <c r="I27" s="16">
        <v>851046.11910000001</v>
      </c>
    </row>
    <row r="28" spans="1:10" ht="12.95" hidden="1" customHeight="1" x14ac:dyDescent="0.25">
      <c r="A28" s="16">
        <v>27</v>
      </c>
      <c r="B28" s="17" t="s">
        <v>123</v>
      </c>
      <c r="C28" s="18">
        <v>45617</v>
      </c>
      <c r="D28" s="16">
        <v>400</v>
      </c>
      <c r="E28" s="16" t="s">
        <v>124</v>
      </c>
      <c r="F28" s="16" t="s">
        <v>125</v>
      </c>
      <c r="G28" s="16">
        <v>20</v>
      </c>
      <c r="H28" s="16">
        <v>15184.758</v>
      </c>
      <c r="I28" s="16">
        <v>8037838.3114</v>
      </c>
    </row>
    <row r="29" spans="1:10" ht="12.95" hidden="1" customHeight="1" x14ac:dyDescent="0.25">
      <c r="A29" s="16">
        <v>28</v>
      </c>
      <c r="B29" s="17" t="s">
        <v>126</v>
      </c>
      <c r="C29" s="18">
        <v>45617</v>
      </c>
      <c r="D29" s="16">
        <v>400</v>
      </c>
      <c r="E29" s="16" t="s">
        <v>124</v>
      </c>
      <c r="F29" s="16" t="s">
        <v>125</v>
      </c>
      <c r="G29" s="16">
        <v>7</v>
      </c>
      <c r="H29" s="16">
        <v>332.41199999999998</v>
      </c>
      <c r="I29" s="16">
        <v>175957.76190000001</v>
      </c>
    </row>
    <row r="30" spans="1:10" ht="12.95" hidden="1" customHeight="1" x14ac:dyDescent="0.25">
      <c r="A30" s="16">
        <v>29</v>
      </c>
      <c r="B30" s="17" t="s">
        <v>127</v>
      </c>
      <c r="C30" s="18">
        <v>45730</v>
      </c>
      <c r="D30" s="16">
        <v>400</v>
      </c>
      <c r="E30" s="16" t="s">
        <v>128</v>
      </c>
      <c r="F30" s="16" t="s">
        <v>101</v>
      </c>
      <c r="G30" s="16">
        <v>1</v>
      </c>
      <c r="H30" s="16">
        <v>1255.0260000000001</v>
      </c>
      <c r="I30" s="16">
        <v>675161.72549999994</v>
      </c>
    </row>
    <row r="31" spans="1:10" ht="12.95" hidden="1" customHeight="1" x14ac:dyDescent="0.25">
      <c r="A31" s="19">
        <v>30</v>
      </c>
      <c r="B31" s="20" t="s">
        <v>129</v>
      </c>
      <c r="C31" s="21">
        <v>45755</v>
      </c>
      <c r="D31" s="19">
        <v>400</v>
      </c>
      <c r="E31" s="19" t="s">
        <v>130</v>
      </c>
      <c r="F31" s="19" t="s">
        <v>101</v>
      </c>
      <c r="G31" s="19">
        <v>1</v>
      </c>
      <c r="H31" s="19">
        <v>5853.299</v>
      </c>
      <c r="I31" s="19">
        <v>3183035.7055000002</v>
      </c>
    </row>
    <row r="32" spans="1:10" ht="12.95" hidden="1" customHeight="1" x14ac:dyDescent="0.25">
      <c r="A32" s="16">
        <v>31</v>
      </c>
      <c r="B32" s="17" t="s">
        <v>131</v>
      </c>
      <c r="C32" s="18">
        <v>45350</v>
      </c>
      <c r="D32" s="16">
        <v>993</v>
      </c>
      <c r="E32" s="16" t="s">
        <v>107</v>
      </c>
      <c r="F32" s="16" t="s">
        <v>132</v>
      </c>
      <c r="G32" s="16">
        <v>1</v>
      </c>
      <c r="H32" s="16">
        <v>474.66899999999998</v>
      </c>
      <c r="I32" s="16">
        <v>0</v>
      </c>
      <c r="J32" s="13"/>
    </row>
    <row r="33" spans="1:10" ht="12.95" hidden="1" customHeight="1" x14ac:dyDescent="0.25">
      <c r="A33" s="16">
        <v>32</v>
      </c>
      <c r="B33" s="17" t="s">
        <v>133</v>
      </c>
      <c r="C33" s="18">
        <v>45420</v>
      </c>
      <c r="D33" s="16">
        <v>400</v>
      </c>
      <c r="E33" s="16" t="s">
        <v>134</v>
      </c>
      <c r="F33" s="16" t="s">
        <v>125</v>
      </c>
      <c r="G33" s="16">
        <v>6</v>
      </c>
      <c r="H33" s="16">
        <v>5335.7870000000003</v>
      </c>
      <c r="I33" s="16">
        <v>2796559.8445000001</v>
      </c>
    </row>
    <row r="34" spans="1:10" ht="12.95" customHeight="1" x14ac:dyDescent="0.25">
      <c r="A34" s="16">
        <v>33</v>
      </c>
      <c r="B34" s="17" t="s">
        <v>135</v>
      </c>
      <c r="C34" s="18">
        <v>45421</v>
      </c>
      <c r="D34" s="16">
        <v>700</v>
      </c>
      <c r="E34" s="16" t="s">
        <v>134</v>
      </c>
      <c r="F34" s="16" t="s">
        <v>132</v>
      </c>
      <c r="G34" s="16">
        <v>13</v>
      </c>
      <c r="H34" s="16">
        <v>2757.0279999999998</v>
      </c>
      <c r="I34" s="16">
        <v>0</v>
      </c>
    </row>
    <row r="35" spans="1:10" ht="12.95" hidden="1" customHeight="1" x14ac:dyDescent="0.25">
      <c r="A35" s="16">
        <v>34</v>
      </c>
      <c r="B35" s="17" t="s">
        <v>136</v>
      </c>
      <c r="C35" s="18">
        <v>45427</v>
      </c>
      <c r="D35" s="16">
        <v>400</v>
      </c>
      <c r="E35" s="16" t="s">
        <v>124</v>
      </c>
      <c r="F35" s="16" t="s">
        <v>125</v>
      </c>
      <c r="G35" s="16">
        <v>4</v>
      </c>
      <c r="H35" s="16">
        <v>12406.144</v>
      </c>
      <c r="I35" s="16">
        <v>6502501.5652999999</v>
      </c>
    </row>
    <row r="36" spans="1:10" ht="12.95" hidden="1" customHeight="1" x14ac:dyDescent="0.25">
      <c r="A36" s="16">
        <v>35</v>
      </c>
      <c r="B36" s="17" t="s">
        <v>137</v>
      </c>
      <c r="C36" s="18">
        <v>45427</v>
      </c>
      <c r="D36" s="16">
        <v>400</v>
      </c>
      <c r="E36" s="16" t="s">
        <v>124</v>
      </c>
      <c r="F36" s="16" t="s">
        <v>125</v>
      </c>
      <c r="G36" s="16">
        <v>2</v>
      </c>
      <c r="H36" s="16">
        <v>145.63800000000001</v>
      </c>
      <c r="I36" s="16">
        <v>76334.175799999997</v>
      </c>
    </row>
    <row r="37" spans="1:10" ht="12.95" customHeight="1" x14ac:dyDescent="0.25">
      <c r="A37" s="16">
        <v>36</v>
      </c>
      <c r="B37" s="17" t="s">
        <v>138</v>
      </c>
      <c r="C37" s="18">
        <v>45434</v>
      </c>
      <c r="D37" s="16">
        <v>700</v>
      </c>
      <c r="E37" s="16" t="s">
        <v>124</v>
      </c>
      <c r="F37" s="16" t="s">
        <v>132</v>
      </c>
      <c r="G37" s="16">
        <v>7</v>
      </c>
      <c r="H37" s="16">
        <v>6906.3440000000001</v>
      </c>
      <c r="I37" s="16">
        <v>0</v>
      </c>
    </row>
    <row r="38" spans="1:10" ht="12.95" hidden="1" customHeight="1" x14ac:dyDescent="0.25">
      <c r="A38" s="16">
        <v>37</v>
      </c>
      <c r="B38" s="17" t="s">
        <v>139</v>
      </c>
      <c r="C38" s="18">
        <v>45503</v>
      </c>
      <c r="D38" s="16">
        <v>451</v>
      </c>
      <c r="E38" s="16" t="s">
        <v>140</v>
      </c>
      <c r="F38" s="16" t="s">
        <v>141</v>
      </c>
      <c r="G38" s="16">
        <v>1</v>
      </c>
      <c r="H38" s="16">
        <v>365.30900000000003</v>
      </c>
      <c r="I38" s="16">
        <v>191434.15700000001</v>
      </c>
    </row>
    <row r="39" spans="1:10" ht="12.95" hidden="1" customHeight="1" x14ac:dyDescent="0.25">
      <c r="A39" s="16">
        <v>38</v>
      </c>
      <c r="B39" s="17" t="s">
        <v>142</v>
      </c>
      <c r="C39" s="18">
        <v>45503</v>
      </c>
      <c r="D39" s="16">
        <v>993</v>
      </c>
      <c r="E39" s="16" t="s">
        <v>140</v>
      </c>
      <c r="F39" s="16" t="s">
        <v>141</v>
      </c>
      <c r="G39" s="16">
        <v>2</v>
      </c>
      <c r="H39" s="16">
        <v>2257.2579999999998</v>
      </c>
      <c r="I39" s="16">
        <v>0</v>
      </c>
    </row>
    <row r="40" spans="1:10" ht="12.95" hidden="1" customHeight="1" x14ac:dyDescent="0.25">
      <c r="A40" s="16">
        <v>39</v>
      </c>
      <c r="B40" s="17" t="s">
        <v>143</v>
      </c>
      <c r="C40" s="18">
        <v>45499</v>
      </c>
      <c r="D40" s="16">
        <v>993</v>
      </c>
      <c r="E40" s="16" t="s">
        <v>144</v>
      </c>
      <c r="F40" s="16" t="s">
        <v>141</v>
      </c>
      <c r="G40" s="16">
        <v>1</v>
      </c>
      <c r="H40" s="16">
        <v>7.923</v>
      </c>
      <c r="I40" s="16">
        <v>0</v>
      </c>
    </row>
    <row r="41" spans="1:10" ht="12.95" hidden="1" customHeight="1" x14ac:dyDescent="0.25">
      <c r="A41" s="19">
        <v>40</v>
      </c>
      <c r="B41" s="20" t="s">
        <v>145</v>
      </c>
      <c r="C41" s="21">
        <v>45504</v>
      </c>
      <c r="D41" s="19">
        <v>993</v>
      </c>
      <c r="E41" s="19" t="s">
        <v>140</v>
      </c>
      <c r="F41" s="19" t="s">
        <v>141</v>
      </c>
      <c r="G41" s="19">
        <v>1</v>
      </c>
      <c r="H41" s="19">
        <v>243.53200000000001</v>
      </c>
      <c r="I41" s="19">
        <v>0</v>
      </c>
    </row>
    <row r="42" spans="1:10" ht="12.95" hidden="1" customHeight="1" x14ac:dyDescent="0.25">
      <c r="A42" s="16">
        <v>41</v>
      </c>
      <c r="B42" s="17" t="s">
        <v>146</v>
      </c>
      <c r="C42" s="18">
        <v>45504</v>
      </c>
      <c r="D42" s="16">
        <v>993</v>
      </c>
      <c r="E42" s="16" t="s">
        <v>144</v>
      </c>
      <c r="F42" s="16" t="s">
        <v>141</v>
      </c>
      <c r="G42" s="16">
        <v>1</v>
      </c>
      <c r="H42" s="16">
        <v>1181.6690000000001</v>
      </c>
      <c r="I42" s="16">
        <v>0</v>
      </c>
      <c r="J42" s="13"/>
    </row>
    <row r="43" spans="1:10" ht="12.95" hidden="1" customHeight="1" x14ac:dyDescent="0.25">
      <c r="A43" s="16">
        <v>42</v>
      </c>
      <c r="B43" s="17" t="s">
        <v>147</v>
      </c>
      <c r="C43" s="18">
        <v>45009</v>
      </c>
      <c r="D43" s="16">
        <v>400</v>
      </c>
      <c r="E43" s="16" t="s">
        <v>148</v>
      </c>
      <c r="F43" s="16" t="s">
        <v>149</v>
      </c>
      <c r="G43" s="16">
        <v>1</v>
      </c>
      <c r="H43" s="16">
        <v>1320.5429999999999</v>
      </c>
      <c r="I43" s="16">
        <v>721786.14359999995</v>
      </c>
    </row>
    <row r="44" spans="1:10" ht="12.95" hidden="1" customHeight="1" x14ac:dyDescent="0.25">
      <c r="A44" s="16">
        <v>43</v>
      </c>
      <c r="B44" s="17" t="s">
        <v>150</v>
      </c>
      <c r="C44" s="18">
        <v>45009</v>
      </c>
      <c r="D44" s="16">
        <v>400</v>
      </c>
      <c r="E44" s="16" t="s">
        <v>151</v>
      </c>
      <c r="F44" s="16" t="s">
        <v>149</v>
      </c>
      <c r="G44" s="16">
        <v>11</v>
      </c>
      <c r="H44" s="16">
        <v>9668.6139999999996</v>
      </c>
      <c r="I44" s="16">
        <v>5284697.2933999998</v>
      </c>
    </row>
    <row r="45" spans="1:10" ht="12.95" hidden="1" customHeight="1" x14ac:dyDescent="0.25">
      <c r="A45" s="16">
        <v>44</v>
      </c>
      <c r="B45" s="17" t="s">
        <v>152</v>
      </c>
      <c r="C45" s="18">
        <v>45010</v>
      </c>
      <c r="D45" s="16">
        <v>400</v>
      </c>
      <c r="E45" s="16" t="s">
        <v>107</v>
      </c>
      <c r="F45" s="16" t="s">
        <v>149</v>
      </c>
      <c r="G45" s="16">
        <v>2</v>
      </c>
      <c r="H45" s="16">
        <v>18764.868999999999</v>
      </c>
      <c r="I45" s="16">
        <v>10254138.9966</v>
      </c>
    </row>
    <row r="46" spans="1:10" ht="12.95" hidden="1" customHeight="1" x14ac:dyDescent="0.25">
      <c r="A46" s="16">
        <v>45</v>
      </c>
      <c r="B46" s="17" t="s">
        <v>153</v>
      </c>
      <c r="C46" s="18">
        <v>45090</v>
      </c>
      <c r="D46" s="16">
        <v>400</v>
      </c>
      <c r="E46" s="16" t="s">
        <v>154</v>
      </c>
      <c r="F46" s="16" t="s">
        <v>149</v>
      </c>
      <c r="G46" s="16">
        <v>3</v>
      </c>
      <c r="H46" s="16">
        <v>127.093</v>
      </c>
      <c r="I46" s="16">
        <v>67791.5193</v>
      </c>
    </row>
    <row r="47" spans="1:10" ht="12.95" hidden="1" customHeight="1" x14ac:dyDescent="0.25">
      <c r="A47" s="16">
        <v>46</v>
      </c>
      <c r="B47" s="17" t="s">
        <v>155</v>
      </c>
      <c r="C47" s="18">
        <v>45342</v>
      </c>
      <c r="D47" s="16">
        <v>400</v>
      </c>
      <c r="E47" s="16" t="s">
        <v>156</v>
      </c>
      <c r="F47" s="16" t="s">
        <v>157</v>
      </c>
      <c r="G47" s="16">
        <v>31</v>
      </c>
      <c r="H47" s="16">
        <v>12541.460999999999</v>
      </c>
      <c r="I47" s="16">
        <v>6592554.9325999999</v>
      </c>
    </row>
    <row r="48" spans="1:10" ht="12.95" hidden="1" customHeight="1" x14ac:dyDescent="0.25">
      <c r="A48" s="16">
        <v>47</v>
      </c>
      <c r="B48" s="17" t="s">
        <v>158</v>
      </c>
      <c r="C48" s="18">
        <v>45413</v>
      </c>
      <c r="D48" s="16">
        <v>400</v>
      </c>
      <c r="E48" s="16" t="s">
        <v>159</v>
      </c>
      <c r="F48" s="16" t="s">
        <v>157</v>
      </c>
      <c r="G48" s="16">
        <v>1</v>
      </c>
      <c r="H48" s="16">
        <v>8559.5889999999999</v>
      </c>
      <c r="I48" s="16">
        <v>4482113.3223000001</v>
      </c>
    </row>
    <row r="49" spans="1:10" ht="12.95" hidden="1" customHeight="1" x14ac:dyDescent="0.25">
      <c r="A49" s="16">
        <v>48</v>
      </c>
      <c r="B49" s="17" t="s">
        <v>160</v>
      </c>
      <c r="C49" s="18">
        <v>45414</v>
      </c>
      <c r="D49" s="16">
        <v>400</v>
      </c>
      <c r="E49" s="16" t="s">
        <v>134</v>
      </c>
      <c r="F49" s="16" t="s">
        <v>157</v>
      </c>
      <c r="G49" s="16">
        <v>13</v>
      </c>
      <c r="H49" s="16">
        <v>2297.0520000000001</v>
      </c>
      <c r="I49" s="16">
        <v>1203034.9742000001</v>
      </c>
    </row>
    <row r="50" spans="1:10" ht="12.95" hidden="1" customHeight="1" x14ac:dyDescent="0.25">
      <c r="A50" s="16">
        <v>49</v>
      </c>
      <c r="B50" s="17" t="s">
        <v>161</v>
      </c>
      <c r="C50" s="18">
        <v>45414</v>
      </c>
      <c r="D50" s="16">
        <v>400</v>
      </c>
      <c r="E50" s="16" t="s">
        <v>134</v>
      </c>
      <c r="F50" s="16" t="s">
        <v>157</v>
      </c>
      <c r="G50" s="16">
        <v>1</v>
      </c>
      <c r="H50" s="16">
        <v>420.012</v>
      </c>
      <c r="I50" s="16">
        <v>219972.65640000001</v>
      </c>
    </row>
    <row r="51" spans="1:10" ht="12.95" hidden="1" customHeight="1" x14ac:dyDescent="0.25">
      <c r="A51" s="16">
        <v>50</v>
      </c>
      <c r="B51" s="17" t="s">
        <v>162</v>
      </c>
      <c r="C51" s="18">
        <v>45419</v>
      </c>
      <c r="D51" s="16">
        <v>400</v>
      </c>
      <c r="E51" s="16" t="s">
        <v>163</v>
      </c>
      <c r="F51" s="16" t="s">
        <v>157</v>
      </c>
      <c r="G51" s="16">
        <v>4</v>
      </c>
      <c r="H51" s="16">
        <v>4874.424</v>
      </c>
      <c r="I51" s="16">
        <v>2554813.7280999999</v>
      </c>
    </row>
    <row r="52" spans="1:10" ht="12.95" hidden="1" customHeight="1" x14ac:dyDescent="0.25">
      <c r="A52" s="16">
        <v>51</v>
      </c>
      <c r="B52" s="17" t="s">
        <v>164</v>
      </c>
      <c r="C52" s="18">
        <v>45419</v>
      </c>
      <c r="D52" s="16">
        <v>400</v>
      </c>
      <c r="E52" s="16" t="s">
        <v>163</v>
      </c>
      <c r="F52" s="16" t="s">
        <v>157</v>
      </c>
      <c r="G52" s="16">
        <v>1</v>
      </c>
      <c r="H52" s="16">
        <v>79.736999999999995</v>
      </c>
      <c r="I52" s="16">
        <v>71450.9908</v>
      </c>
      <c r="J52" s="13"/>
    </row>
    <row r="53" spans="1:10" ht="12.95" customHeight="1" x14ac:dyDescent="0.25">
      <c r="A53" s="16">
        <v>52</v>
      </c>
      <c r="B53" s="17" t="s">
        <v>165</v>
      </c>
      <c r="C53" s="18">
        <v>45453</v>
      </c>
      <c r="D53" s="16">
        <v>700</v>
      </c>
      <c r="E53" s="16" t="s">
        <v>163</v>
      </c>
      <c r="F53" s="16" t="s">
        <v>166</v>
      </c>
      <c r="G53" s="16">
        <v>2</v>
      </c>
      <c r="H53" s="16">
        <v>414.85599999999999</v>
      </c>
      <c r="I53" s="16">
        <v>0</v>
      </c>
    </row>
    <row r="54" spans="1:10" ht="12.95" customHeight="1" x14ac:dyDescent="0.25">
      <c r="A54" s="16">
        <v>53</v>
      </c>
      <c r="B54" s="17" t="s">
        <v>167</v>
      </c>
      <c r="C54" s="18">
        <v>45467</v>
      </c>
      <c r="D54" s="16">
        <v>700</v>
      </c>
      <c r="E54" s="16" t="s">
        <v>163</v>
      </c>
      <c r="F54" s="16" t="s">
        <v>166</v>
      </c>
      <c r="G54" s="16">
        <v>2</v>
      </c>
      <c r="H54" s="16">
        <v>12326.209000000001</v>
      </c>
      <c r="I54" s="16">
        <v>0</v>
      </c>
    </row>
    <row r="55" spans="1:10" ht="12.95" hidden="1" customHeight="1" x14ac:dyDescent="0.25">
      <c r="A55" s="16">
        <v>54</v>
      </c>
      <c r="B55" s="17" t="s">
        <v>168</v>
      </c>
      <c r="C55" s="18">
        <v>45467</v>
      </c>
      <c r="D55" s="16">
        <v>400</v>
      </c>
      <c r="E55" s="16" t="s">
        <v>163</v>
      </c>
      <c r="F55" s="16" t="s">
        <v>157</v>
      </c>
      <c r="G55" s="16">
        <v>6</v>
      </c>
      <c r="H55" s="16">
        <v>9066.2019999999993</v>
      </c>
      <c r="I55" s="16">
        <v>4750992.7248999998</v>
      </c>
    </row>
    <row r="56" spans="1:10" ht="12.95" hidden="1" customHeight="1" x14ac:dyDescent="0.25">
      <c r="A56" s="19">
        <v>55</v>
      </c>
      <c r="B56" s="20" t="s">
        <v>169</v>
      </c>
      <c r="C56" s="21">
        <v>45519</v>
      </c>
      <c r="D56" s="19">
        <v>451</v>
      </c>
      <c r="E56" s="19" t="s">
        <v>163</v>
      </c>
      <c r="F56" s="19" t="s">
        <v>166</v>
      </c>
      <c r="G56" s="19">
        <v>2</v>
      </c>
      <c r="H56" s="19">
        <v>424.185</v>
      </c>
      <c r="I56" s="19">
        <v>222296.0307</v>
      </c>
    </row>
    <row r="57" spans="1:10" ht="12.95" hidden="1" customHeight="1" x14ac:dyDescent="0.25">
      <c r="A57" s="16">
        <v>56</v>
      </c>
      <c r="B57" s="17" t="s">
        <v>170</v>
      </c>
      <c r="C57" s="18">
        <v>45526</v>
      </c>
      <c r="D57" s="16">
        <v>451</v>
      </c>
      <c r="E57" s="16" t="s">
        <v>163</v>
      </c>
      <c r="F57" s="16" t="s">
        <v>166</v>
      </c>
      <c r="G57" s="16">
        <v>1</v>
      </c>
      <c r="H57" s="16">
        <v>4747.0690000000004</v>
      </c>
      <c r="I57" s="16">
        <v>2488041.7119</v>
      </c>
    </row>
    <row r="58" spans="1:10" ht="12.95" hidden="1" customHeight="1" x14ac:dyDescent="0.25">
      <c r="A58" s="16">
        <v>57</v>
      </c>
      <c r="B58" s="17" t="s">
        <v>171</v>
      </c>
      <c r="C58" s="18">
        <v>45065</v>
      </c>
      <c r="D58" s="16">
        <v>400</v>
      </c>
      <c r="E58" s="16" t="s">
        <v>144</v>
      </c>
      <c r="F58" s="16" t="s">
        <v>172</v>
      </c>
      <c r="G58" s="16">
        <v>4</v>
      </c>
      <c r="H58" s="16">
        <v>1294.796</v>
      </c>
      <c r="I58" s="16">
        <v>694264.54830000002</v>
      </c>
    </row>
    <row r="59" spans="1:10" ht="12.95" hidden="1" customHeight="1" x14ac:dyDescent="0.25">
      <c r="A59" s="16">
        <v>58</v>
      </c>
      <c r="B59" s="17" t="s">
        <v>173</v>
      </c>
      <c r="C59" s="18">
        <v>45636</v>
      </c>
      <c r="D59" s="16">
        <v>400</v>
      </c>
      <c r="E59" s="16" t="s">
        <v>128</v>
      </c>
      <c r="F59" s="16" t="s">
        <v>157</v>
      </c>
      <c r="G59" s="16">
        <v>29</v>
      </c>
      <c r="H59" s="16">
        <v>7591.9849999999997</v>
      </c>
      <c r="I59" s="16">
        <v>4022017.6675</v>
      </c>
    </row>
    <row r="60" spans="1:10" ht="12.95" hidden="1" customHeight="1" x14ac:dyDescent="0.25">
      <c r="A60" s="16">
        <v>59</v>
      </c>
      <c r="B60" s="17" t="s">
        <v>174</v>
      </c>
      <c r="C60" s="18">
        <v>45581</v>
      </c>
      <c r="D60" s="16">
        <v>400</v>
      </c>
      <c r="E60" s="16" t="s">
        <v>175</v>
      </c>
      <c r="F60" s="16" t="s">
        <v>157</v>
      </c>
      <c r="G60" s="16">
        <v>5</v>
      </c>
      <c r="H60" s="16">
        <v>1942.915</v>
      </c>
      <c r="I60" s="16">
        <v>1020468.5041</v>
      </c>
    </row>
    <row r="61" spans="1:10" ht="12.95" customHeight="1" x14ac:dyDescent="0.25">
      <c r="A61" s="16">
        <v>60</v>
      </c>
      <c r="B61" s="17" t="s">
        <v>176</v>
      </c>
      <c r="C61" s="18">
        <v>45583</v>
      </c>
      <c r="D61" s="16">
        <v>700</v>
      </c>
      <c r="E61" s="16" t="s">
        <v>177</v>
      </c>
      <c r="F61" s="16" t="s">
        <v>166</v>
      </c>
      <c r="G61" s="16">
        <v>6</v>
      </c>
      <c r="H61" s="16">
        <v>2103.154</v>
      </c>
      <c r="I61" s="16">
        <v>0</v>
      </c>
    </row>
    <row r="62" spans="1:10" ht="12.95" hidden="1" customHeight="1" x14ac:dyDescent="0.25">
      <c r="A62" s="16">
        <v>61</v>
      </c>
      <c r="B62" s="17" t="s">
        <v>178</v>
      </c>
      <c r="C62" s="18">
        <v>45583</v>
      </c>
      <c r="D62" s="16">
        <v>400</v>
      </c>
      <c r="E62" s="16" t="s">
        <v>177</v>
      </c>
      <c r="F62" s="16" t="s">
        <v>157</v>
      </c>
      <c r="G62" s="16">
        <v>21</v>
      </c>
      <c r="H62" s="16">
        <v>6172.4570000000003</v>
      </c>
      <c r="I62" s="16">
        <v>3245575.8865</v>
      </c>
      <c r="J62" s="13"/>
    </row>
    <row r="63" spans="1:10" ht="12.95" hidden="1" customHeight="1" x14ac:dyDescent="0.25">
      <c r="A63" s="16">
        <v>62</v>
      </c>
      <c r="B63" s="17" t="s">
        <v>179</v>
      </c>
      <c r="C63" s="18">
        <v>45671</v>
      </c>
      <c r="D63" s="16">
        <v>451</v>
      </c>
      <c r="E63" s="16" t="s">
        <v>163</v>
      </c>
      <c r="F63" s="16" t="s">
        <v>166</v>
      </c>
      <c r="G63" s="16">
        <v>1</v>
      </c>
      <c r="H63" s="16">
        <v>7430.3220000000001</v>
      </c>
      <c r="I63" s="16">
        <v>3945838.9970999998</v>
      </c>
    </row>
    <row r="64" spans="1:10" ht="12.95" hidden="1" customHeight="1" x14ac:dyDescent="0.25">
      <c r="A64" s="16">
        <v>63</v>
      </c>
      <c r="B64" s="17" t="s">
        <v>180</v>
      </c>
      <c r="C64" s="18">
        <v>45146</v>
      </c>
      <c r="D64" s="16">
        <v>400</v>
      </c>
      <c r="E64" s="16" t="s">
        <v>181</v>
      </c>
      <c r="F64" s="16" t="s">
        <v>182</v>
      </c>
      <c r="G64" s="16">
        <v>1</v>
      </c>
      <c r="H64" s="16">
        <v>4024.93</v>
      </c>
      <c r="I64" s="16">
        <v>1394863.6410999999</v>
      </c>
    </row>
    <row r="65" spans="1:9" ht="12.95" hidden="1" customHeight="1" x14ac:dyDescent="0.25">
      <c r="A65" s="16">
        <v>64</v>
      </c>
      <c r="B65" s="17" t="s">
        <v>183</v>
      </c>
      <c r="C65" s="18">
        <v>45306</v>
      </c>
      <c r="D65" s="16">
        <v>400</v>
      </c>
      <c r="E65" s="16" t="s">
        <v>144</v>
      </c>
      <c r="F65" s="16" t="s">
        <v>184</v>
      </c>
      <c r="G65" s="16">
        <v>3</v>
      </c>
      <c r="H65" s="16">
        <v>2687.9969999999998</v>
      </c>
      <c r="I65" s="16">
        <v>1420386.8217</v>
      </c>
    </row>
    <row r="66" spans="1:9" ht="12.95" hidden="1" customHeight="1" x14ac:dyDescent="0.25">
      <c r="A66" s="16">
        <v>65</v>
      </c>
      <c r="B66" s="17" t="s">
        <v>185</v>
      </c>
      <c r="C66" s="18">
        <v>45070</v>
      </c>
      <c r="D66" s="16">
        <v>400</v>
      </c>
      <c r="E66" s="16" t="s">
        <v>186</v>
      </c>
      <c r="F66" s="16" t="s">
        <v>187</v>
      </c>
      <c r="G66" s="16">
        <v>1</v>
      </c>
      <c r="H66" s="16">
        <v>1110.93</v>
      </c>
      <c r="I66" s="16">
        <v>595451.0257</v>
      </c>
    </row>
    <row r="67" spans="1:9" ht="12.95" hidden="1" customHeight="1" x14ac:dyDescent="0.25">
      <c r="A67" s="19">
        <v>66</v>
      </c>
      <c r="B67" s="20" t="s">
        <v>188</v>
      </c>
      <c r="C67" s="21">
        <v>45258</v>
      </c>
      <c r="D67" s="19">
        <v>400</v>
      </c>
      <c r="E67" s="19" t="s">
        <v>186</v>
      </c>
      <c r="F67" s="19" t="s">
        <v>187</v>
      </c>
      <c r="G67" s="19">
        <v>2</v>
      </c>
      <c r="H67" s="19">
        <v>1405.355</v>
      </c>
      <c r="I67" s="19">
        <v>748647.39300000004</v>
      </c>
    </row>
  </sheetData>
  <autoFilter ref="A1:J67" xr:uid="{6CE180CC-9F61-4B49-8C77-B4953E51F4BE}">
    <filterColumn colId="3">
      <filters>
        <filter val="700"/>
      </filters>
    </filterColumn>
  </autoFilter>
  <hyperlinks>
    <hyperlink ref="B2" r:id="rId1" display="https://gaali.mn/my-account/declaration/approved/02209101024I30273" xr:uid="{387D7836-4AB4-4F0F-B107-9BE5F825C6C2}"/>
    <hyperlink ref="B3" r:id="rId2" display="https://gaali.mn/my-account/declaration/approved/02209101024I30274" xr:uid="{C6495C97-11C2-4DC6-ADBF-664DF7BFFAB7}"/>
    <hyperlink ref="B4" r:id="rId3" display="https://gaali.mn/my-account/declaration/approved/02209101024I30639" xr:uid="{3E81308F-185B-486A-BB79-AB4197EDA323}"/>
    <hyperlink ref="B5" r:id="rId4" display="https://gaali.mn/my-account/declaration/approved/02209101024I32266" xr:uid="{AD935251-6F03-4891-A9BC-C94899881F87}"/>
    <hyperlink ref="B6" r:id="rId5" display="https://gaali.mn/my-account/declaration/approved/02209101024I32989" xr:uid="{5F6EDBAE-9DEE-4143-999B-B6B48FCE47B9}"/>
    <hyperlink ref="B7" r:id="rId6" display="https://gaali.mn/my-account/declaration/approved/02209101024I33125" xr:uid="{7F678E18-C793-479B-9618-AF203A61B601}"/>
    <hyperlink ref="B8" r:id="rId7" display="https://gaali.mn/my-account/declaration/approved/02209101024I33185" xr:uid="{D5972E11-061C-47B5-84C0-A8AA1B838B58}"/>
    <hyperlink ref="B9" r:id="rId8" display="https://gaali.mn/my-account/declaration/approved/02209101024I33443" xr:uid="{E00229B5-B4D5-4688-9BDC-B43726328B67}"/>
    <hyperlink ref="B10" r:id="rId9" display="https://gaali.mn/my-account/declaration/approved/02209101024I33809" xr:uid="{3EB93A8F-CB08-4E34-A5D3-297FDAEA13DE}"/>
    <hyperlink ref="B11" r:id="rId10" display="https://gaali.mn/my-account/declaration/approved/02209101523I30700" xr:uid="{D90E12BA-6CC3-47BF-8D32-C61EC84FF299}"/>
    <hyperlink ref="B12" r:id="rId11" display="https://gaali.mn/my-account/declaration/approved/02209101523I30701" xr:uid="{BF2EC712-6B7E-4639-A82D-49E135E38E08}"/>
    <hyperlink ref="B13" r:id="rId12" display="https://gaali.mn/my-account/declaration/approved/02209101523I30702" xr:uid="{BFC2C16C-EF02-48C0-9725-D929C6652F64}"/>
    <hyperlink ref="B14" r:id="rId13" display="https://gaali.mn/my-account/declaration/approved/02209101523I30711" xr:uid="{4D330907-6237-443A-BA42-9F303D4000BD}"/>
    <hyperlink ref="B15" r:id="rId14" display="https://gaali.mn/my-account/declaration/approved/02209101523I31357" xr:uid="{E38B8747-1B14-4732-9CE3-6726C293FD0E}"/>
    <hyperlink ref="B16" r:id="rId15" display="https://gaali.mn/my-account/declaration/approved/02209101523I31358" xr:uid="{95BF9D24-6A82-4D74-AF4F-336253C73340}"/>
    <hyperlink ref="B17" r:id="rId16" display="https://gaali.mn/my-account/declaration/approved/02209101523I31359" xr:uid="{19011DBE-A050-41E4-81DF-F3064777E299}"/>
    <hyperlink ref="B18" r:id="rId17" display="https://gaali.mn/my-account/declaration/approved/02209101523I31360" xr:uid="{6240BA3E-B566-4720-9792-69563A3C0DCE}"/>
    <hyperlink ref="B19" r:id="rId18" display="https://gaali.mn/my-account/declaration/approved/02209101523I31378" xr:uid="{29F7BE8F-08BA-4D5F-81BA-262F44D4E829}"/>
    <hyperlink ref="B20" r:id="rId19" display="https://gaali.mn/my-account/declaration/approved/02209101523I31403" xr:uid="{42094AE7-5739-45E9-951B-A59232D484CB}"/>
    <hyperlink ref="B21" r:id="rId20" display="https://gaali.mn/my-account/declaration/approved/02209101523I32351" xr:uid="{3A20DDEB-63E6-4008-9324-EE6928D38841}"/>
    <hyperlink ref="B22" r:id="rId21" display="https://gaali.mn/my-account/declaration/approved/02209101523I32352" xr:uid="{3F233285-D123-4C28-B374-02A95A293B13}"/>
    <hyperlink ref="B23" r:id="rId22" display="https://gaali.mn/my-account/declaration/approved/02209101523I32353" xr:uid="{FAD45736-AF74-419B-9106-4E5268033722}"/>
    <hyperlink ref="B24" r:id="rId23" display="https://gaali.mn/my-account/declaration/approved/02209101524I31944" xr:uid="{F7F1E973-EA58-41F6-B46D-84C0DA8B904C}"/>
    <hyperlink ref="B25" r:id="rId24" display="https://gaali.mn/my-account/declaration/approved/02209101524I31945" xr:uid="{511A4B82-494C-4261-83F1-BAB8B7E47B5F}"/>
    <hyperlink ref="B26" r:id="rId25" display="https://gaali.mn/my-account/declaration/approved/02209101524I31946" xr:uid="{4610BCFC-0790-44FB-8EC4-2D1AFDE148D4}"/>
    <hyperlink ref="B27" r:id="rId26" display="https://gaali.mn/my-account/declaration/approved/02209101525I00142" xr:uid="{41499889-D03C-4D90-9340-2531786A2979}"/>
    <hyperlink ref="B28" r:id="rId27" display="https://gaali.mn/my-account/declaration/approved/02209101824I31854" xr:uid="{6966323F-1D5E-4B7B-A30C-5BA5452CBB70}"/>
    <hyperlink ref="B29" r:id="rId28" display="https://gaali.mn/my-account/declaration/approved/02209101824I31855" xr:uid="{4900AFEC-2F9A-4D79-A162-8CD709ED4290}"/>
    <hyperlink ref="B30" r:id="rId29" display="https://gaali.mn/my-account/declaration/approved/02209101825I00403" xr:uid="{68BBD6DD-E4C9-48AA-8D14-1834BC150E18}"/>
    <hyperlink ref="B31" r:id="rId30" display="https://gaali.mn/my-account/declaration/approved/02209101825I00493" xr:uid="{2709449B-7493-470E-823C-A72C2BED4EAE}"/>
    <hyperlink ref="B32" r:id="rId31" display="https://gaali.mn/my-account/declaration/approved/02214100724I31709" xr:uid="{3EF0BDB7-206C-4ABB-8018-5C79526BFCFE}"/>
    <hyperlink ref="B33" r:id="rId32" display="https://gaali.mn/my-account/declaration/approved/02214100724I34053" xr:uid="{3F91B773-699D-4F24-A2EE-97FCB2A637BE}"/>
    <hyperlink ref="B34" r:id="rId33" display="https://gaali.mn/my-account/declaration/approved/02214100724I34062" xr:uid="{179712C8-12C5-49F5-96E9-AD75A77FF4AD}"/>
    <hyperlink ref="B35" r:id="rId34" display="https://gaali.mn/my-account/declaration/approved/02214100724I34188" xr:uid="{627C6E89-2DE0-414D-889E-0BA294B83279}"/>
    <hyperlink ref="B36" r:id="rId35" display="https://gaali.mn/my-account/declaration/approved/02214100724I34189" xr:uid="{F15B04D3-D28F-4EBF-A1DB-4F44F8A24927}"/>
    <hyperlink ref="B37" r:id="rId36" display="https://gaali.mn/my-account/declaration/approved/02214100724I34454" xr:uid="{7918ACA1-8C1F-480E-A821-8661F18E8B65}"/>
    <hyperlink ref="B38" r:id="rId37" display="https://gaali.mn/my-account/declaration/approved/02215100824I33724" xr:uid="{15D88FF1-6B95-43BD-81DC-1AC5A6FD350E}"/>
    <hyperlink ref="B39" r:id="rId38" display="https://gaali.mn/my-account/declaration/approved/02215100824I33727" xr:uid="{D3788520-B622-455A-81D7-BEB4A291A770}"/>
    <hyperlink ref="B40" r:id="rId39" display="https://gaali.mn/my-account/declaration/approved/02215100824I33729" xr:uid="{63ECEA92-EE82-4765-8F02-46DB9FE8E87E}"/>
    <hyperlink ref="B41" r:id="rId40" display="https://gaali.mn/my-account/declaration/approved/02215100824I33791" xr:uid="{0DDFB9BC-4058-4ECE-AA7B-3ABBDFA56F5A}"/>
    <hyperlink ref="B42" r:id="rId41" display="https://gaali.mn/my-account/declaration/approved/02215100824I33792" xr:uid="{A69C50C9-8008-45CF-8044-65230FD2980F}"/>
    <hyperlink ref="B43" r:id="rId42" display="https://gaali.mn/my-account/declaration/approved/04214100223I30170" xr:uid="{E4C2481D-9AFC-4580-B40E-505536805EDA}"/>
    <hyperlink ref="B44" r:id="rId43" display="https://gaali.mn/my-account/declaration/approved/04214100223I30172" xr:uid="{77868736-563C-47C7-ABC6-3CAED715D6DC}"/>
    <hyperlink ref="B45" r:id="rId44" display="https://gaali.mn/my-account/declaration/approved/04214100223I30173" xr:uid="{8C39F31C-D1D9-4F3D-826A-910FDC467B7B}"/>
    <hyperlink ref="B46" r:id="rId45" display="https://gaali.mn/my-account/declaration/approved/04214100223I30386" xr:uid="{66702C5E-77E6-4C2C-99CA-9AE4225E9270}"/>
    <hyperlink ref="B47" r:id="rId46" display="https://gaali.mn/my-account/declaration/approved/05209101824I30098" xr:uid="{2678F5DA-F179-4906-8616-58E9D4534A20}"/>
    <hyperlink ref="B48" r:id="rId47" display="https://gaali.mn/my-account/declaration/approved/05209101824I30270" xr:uid="{B32A498F-6E4E-4D44-AB8E-B251F1BDC3ED}"/>
    <hyperlink ref="B49" r:id="rId48" display="https://gaali.mn/my-account/declaration/approved/05209101824I30271" xr:uid="{4050C540-BC94-4DC3-8B34-DF46FAAEBC7D}"/>
    <hyperlink ref="B50" r:id="rId49" display="https://gaali.mn/my-account/declaration/approved/05209101824I30272" xr:uid="{2A1892A9-1333-4F6F-BBB3-F6EA55782BAD}"/>
    <hyperlink ref="B51" r:id="rId50" display="https://gaali.mn/my-account/declaration/approved/05209101824I30288" xr:uid="{7FCEC99D-104A-4F18-8712-00170EDE076B}"/>
    <hyperlink ref="B52" r:id="rId51" display="https://gaali.mn/my-account/declaration/approved/05209101824I30289" xr:uid="{6B8C60E8-8E9B-48FD-BB44-D6C9AF15289C}"/>
    <hyperlink ref="B53" r:id="rId52" display="https://gaali.mn/my-account/declaration/approved/05209101824I30290" xr:uid="{3F42B16F-0D7B-4027-BAC3-1A32273E9231}"/>
    <hyperlink ref="B54" r:id="rId53" display="https://gaali.mn/my-account/declaration/approved/05209101824I30399" xr:uid="{CC2AA85A-68D4-4709-BA78-76773C13C0E9}"/>
    <hyperlink ref="B55" r:id="rId54" display="https://gaali.mn/my-account/declaration/approved/05209101824I30400" xr:uid="{D3A3B9FD-29CB-44CE-8E49-BD927D5B985C}"/>
    <hyperlink ref="B56" r:id="rId55" display="https://gaali.mn/my-account/declaration/approved/05209101824I30510" xr:uid="{6C739990-9804-4098-ACD6-B8E87DCCFB42}"/>
    <hyperlink ref="B57" r:id="rId56" display="https://gaali.mn/my-account/declaration/approved/05209101824I30524" xr:uid="{9D979350-D286-4511-BF3B-D8DD10CFE6D8}"/>
    <hyperlink ref="B58" r:id="rId57" display="https://gaali.mn/my-account/declaration/approved/05211100423I30502" xr:uid="{1430CAFC-D38A-470C-8324-C6460341C254}"/>
    <hyperlink ref="B59" r:id="rId58" display="https://gaali.mn/my-account/declaration/approved/05214100424I30488" xr:uid="{ADE7D70E-6C66-4B20-9887-03E59DC425A9}"/>
    <hyperlink ref="B60" r:id="rId59" display="https://gaali.mn/my-account/declaration/approved/05215100624I30873" xr:uid="{5280737A-8169-4B0D-B552-70CC3924FFE1}"/>
    <hyperlink ref="B61" r:id="rId60" display="https://gaali.mn/my-account/declaration/approved/05215100624I30878" xr:uid="{9341AB89-5398-40F6-974E-FE576A7E610C}"/>
    <hyperlink ref="B62" r:id="rId61" display="https://gaali.mn/my-account/declaration/approved/05215100624I30879" xr:uid="{17C4264B-515E-4616-A528-966949BC76CF}"/>
    <hyperlink ref="B63" r:id="rId62" display="https://gaali.mn/my-account/declaration/approved/05215100625I00033" xr:uid="{8E032C59-E4C8-4F91-885E-06CC8200EDA4}"/>
    <hyperlink ref="B64" r:id="rId63" display="https://gaali.mn/my-account/declaration/approved/12215101123I31192" xr:uid="{0761CC79-317F-4491-97D0-2808D2971204}"/>
    <hyperlink ref="B65" r:id="rId64" display="https://gaali.mn/my-account/declaration/approved/12215101124I30095" xr:uid="{8D8C41A6-BF74-4772-BCB6-117BA7D3433F}"/>
    <hyperlink ref="B66" r:id="rId65" display="https://gaali.mn/my-account/declaration/approved/12216100123I30179" xr:uid="{1CC93B01-FF5F-4F2E-9280-601C9E689C1F}"/>
    <hyperlink ref="B67" r:id="rId66" display="https://gaali.mn/my-account/declaration/approved/12216100123I30433" xr:uid="{7B28451B-9694-40D2-9C38-6EF63416499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3ACA-9B07-48A5-9AA5-B827A0107B6B}">
  <dimension ref="A1:A33"/>
  <sheetViews>
    <sheetView workbookViewId="0">
      <selection activeCell="A34" sqref="A34"/>
    </sheetView>
  </sheetViews>
  <sheetFormatPr defaultRowHeight="15" x14ac:dyDescent="0.25"/>
  <sheetData>
    <row r="1" spans="1:1" x14ac:dyDescent="0.25">
      <c r="A1">
        <v>199</v>
      </c>
    </row>
    <row r="2" spans="1:1" x14ac:dyDescent="0.25">
      <c r="A2">
        <v>204</v>
      </c>
    </row>
    <row r="3" spans="1:1" x14ac:dyDescent="0.25">
      <c r="A3">
        <v>179</v>
      </c>
    </row>
    <row r="4" spans="1:1" x14ac:dyDescent="0.25">
      <c r="A4">
        <v>178</v>
      </c>
    </row>
    <row r="5" spans="1:1" x14ac:dyDescent="0.25">
      <c r="A5">
        <v>130</v>
      </c>
    </row>
    <row r="6" spans="1:1" x14ac:dyDescent="0.25">
      <c r="A6">
        <v>30</v>
      </c>
    </row>
    <row r="7" spans="1:1" x14ac:dyDescent="0.25">
      <c r="A7">
        <v>60</v>
      </c>
    </row>
    <row r="8" spans="1:1" x14ac:dyDescent="0.25">
      <c r="A8">
        <v>130</v>
      </c>
    </row>
    <row r="9" spans="1:1" x14ac:dyDescent="0.25">
      <c r="A9">
        <v>60</v>
      </c>
    </row>
    <row r="10" spans="1:1" x14ac:dyDescent="0.25">
      <c r="A10">
        <v>48</v>
      </c>
    </row>
    <row r="11" spans="1:1" x14ac:dyDescent="0.25">
      <c r="A11">
        <v>100</v>
      </c>
    </row>
    <row r="12" spans="1:1" x14ac:dyDescent="0.25">
      <c r="A12">
        <v>200</v>
      </c>
    </row>
    <row r="13" spans="1:1" x14ac:dyDescent="0.25">
      <c r="A13">
        <v>6</v>
      </c>
    </row>
    <row r="14" spans="1:1" x14ac:dyDescent="0.25">
      <c r="A14">
        <v>4</v>
      </c>
    </row>
    <row r="15" spans="1:1" x14ac:dyDescent="0.25">
      <c r="A15">
        <v>20</v>
      </c>
    </row>
    <row r="16" spans="1:1" x14ac:dyDescent="0.25">
      <c r="A16">
        <v>50</v>
      </c>
    </row>
    <row r="17" spans="1:1" x14ac:dyDescent="0.25">
      <c r="A17">
        <v>10</v>
      </c>
    </row>
    <row r="18" spans="1:1" x14ac:dyDescent="0.25">
      <c r="A18">
        <v>50</v>
      </c>
    </row>
    <row r="19" spans="1:1" x14ac:dyDescent="0.25">
      <c r="A19">
        <v>36</v>
      </c>
    </row>
    <row r="20" spans="1:1" x14ac:dyDescent="0.25">
      <c r="A20">
        <v>24</v>
      </c>
    </row>
    <row r="21" spans="1:1" x14ac:dyDescent="0.25">
      <c r="A21">
        <v>40</v>
      </c>
    </row>
    <row r="22" spans="1:1" x14ac:dyDescent="0.25">
      <c r="A22">
        <v>24</v>
      </c>
    </row>
    <row r="23" spans="1:1" x14ac:dyDescent="0.25">
      <c r="A23">
        <v>24</v>
      </c>
    </row>
    <row r="24" spans="1:1" x14ac:dyDescent="0.25">
      <c r="A24">
        <v>24</v>
      </c>
    </row>
    <row r="25" spans="1:1" x14ac:dyDescent="0.25">
      <c r="A25">
        <v>20</v>
      </c>
    </row>
    <row r="26" spans="1:1" x14ac:dyDescent="0.25">
      <c r="A26">
        <v>30</v>
      </c>
    </row>
    <row r="27" spans="1:1" x14ac:dyDescent="0.25">
      <c r="A27">
        <v>100</v>
      </c>
    </row>
    <row r="28" spans="1:1" x14ac:dyDescent="0.25">
      <c r="A28">
        <v>100</v>
      </c>
    </row>
    <row r="29" spans="1:1" x14ac:dyDescent="0.25">
      <c r="A29">
        <v>150</v>
      </c>
    </row>
    <row r="30" spans="1:1" x14ac:dyDescent="0.25">
      <c r="A30">
        <v>60</v>
      </c>
    </row>
    <row r="31" spans="1:1" x14ac:dyDescent="0.25">
      <c r="A31">
        <v>2</v>
      </c>
    </row>
    <row r="32" spans="1:1" x14ac:dyDescent="0.25">
      <c r="A32">
        <v>2</v>
      </c>
    </row>
    <row r="33" spans="1:1" x14ac:dyDescent="0.25">
      <c r="A33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DD68-4CBA-4165-A34B-C13DB0ACA976}">
  <sheetPr>
    <pageSetUpPr fitToPage="1"/>
  </sheetPr>
  <dimension ref="A1:I67"/>
  <sheetViews>
    <sheetView workbookViewId="0">
      <selection activeCell="I67" sqref="A1:I67"/>
    </sheetView>
  </sheetViews>
  <sheetFormatPr defaultRowHeight="15" x14ac:dyDescent="0.25"/>
  <cols>
    <col min="1" max="1" width="3.5703125" bestFit="1" customWidth="1"/>
    <col min="2" max="2" width="20" bestFit="1" customWidth="1"/>
    <col min="3" max="3" width="10.7109375" style="12" bestFit="1" customWidth="1"/>
    <col min="4" max="4" width="13.140625" bestFit="1" customWidth="1"/>
    <col min="5" max="5" width="60.5703125" bestFit="1" customWidth="1"/>
    <col min="6" max="6" width="53" bestFit="1" customWidth="1"/>
    <col min="7" max="7" width="14.85546875" bestFit="1" customWidth="1"/>
    <col min="8" max="8" width="18.85546875" style="22" bestFit="1" customWidth="1"/>
    <col min="9" max="9" width="19.140625" style="22" bestFit="1" customWidth="1"/>
  </cols>
  <sheetData>
    <row r="1" spans="1:9" x14ac:dyDescent="0.25">
      <c r="A1" s="23" t="s">
        <v>189</v>
      </c>
      <c r="B1" s="23" t="s">
        <v>78</v>
      </c>
      <c r="C1" s="24" t="s">
        <v>2</v>
      </c>
      <c r="D1" s="23" t="s">
        <v>79</v>
      </c>
      <c r="E1" s="23" t="s">
        <v>80</v>
      </c>
      <c r="F1" s="23" t="s">
        <v>81</v>
      </c>
      <c r="G1" s="23" t="s">
        <v>190</v>
      </c>
      <c r="H1" s="25" t="s">
        <v>83</v>
      </c>
      <c r="I1" s="25" t="s">
        <v>84</v>
      </c>
    </row>
    <row r="2" spans="1:9" x14ac:dyDescent="0.25">
      <c r="A2" s="23">
        <v>1</v>
      </c>
      <c r="B2" s="23" t="s">
        <v>147</v>
      </c>
      <c r="C2" s="24">
        <v>45009</v>
      </c>
      <c r="D2" s="23">
        <v>400</v>
      </c>
      <c r="E2" s="23" t="s">
        <v>148</v>
      </c>
      <c r="F2" s="23" t="s">
        <v>149</v>
      </c>
      <c r="G2" s="23">
        <v>1</v>
      </c>
      <c r="H2" s="25">
        <v>1320.5429999999999</v>
      </c>
      <c r="I2" s="25">
        <v>721786.14359999995</v>
      </c>
    </row>
    <row r="3" spans="1:9" x14ac:dyDescent="0.25">
      <c r="A3" s="23">
        <f>+A2+1</f>
        <v>2</v>
      </c>
      <c r="B3" s="23" t="s">
        <v>150</v>
      </c>
      <c r="C3" s="24">
        <v>45009</v>
      </c>
      <c r="D3" s="23">
        <v>400</v>
      </c>
      <c r="E3" s="23" t="s">
        <v>151</v>
      </c>
      <c r="F3" s="23" t="s">
        <v>149</v>
      </c>
      <c r="G3" s="23">
        <v>11</v>
      </c>
      <c r="H3" s="25">
        <v>9668.6139999999996</v>
      </c>
      <c r="I3" s="25">
        <v>5284697.2933999998</v>
      </c>
    </row>
    <row r="4" spans="1:9" x14ac:dyDescent="0.25">
      <c r="A4" s="23">
        <f t="shared" ref="A4:A67" si="0">+A3+1</f>
        <v>3</v>
      </c>
      <c r="B4" s="23" t="s">
        <v>152</v>
      </c>
      <c r="C4" s="24">
        <v>45010</v>
      </c>
      <c r="D4" s="23">
        <v>400</v>
      </c>
      <c r="E4" s="23" t="s">
        <v>107</v>
      </c>
      <c r="F4" s="23" t="s">
        <v>149</v>
      </c>
      <c r="G4" s="23">
        <v>2</v>
      </c>
      <c r="H4" s="25">
        <v>18764.868999999999</v>
      </c>
      <c r="I4" s="25">
        <v>10254138.9966</v>
      </c>
    </row>
    <row r="5" spans="1:9" x14ac:dyDescent="0.25">
      <c r="A5" s="23">
        <f t="shared" si="0"/>
        <v>4</v>
      </c>
      <c r="B5" s="23" t="s">
        <v>99</v>
      </c>
      <c r="C5" s="24">
        <v>45022</v>
      </c>
      <c r="D5" s="23">
        <v>400</v>
      </c>
      <c r="E5" s="23" t="s">
        <v>100</v>
      </c>
      <c r="F5" s="23" t="s">
        <v>101</v>
      </c>
      <c r="G5" s="23">
        <v>2</v>
      </c>
      <c r="H5" s="25">
        <v>21427.384999999998</v>
      </c>
      <c r="I5" s="25">
        <v>11669956.9647</v>
      </c>
    </row>
    <row r="6" spans="1:9" x14ac:dyDescent="0.25">
      <c r="A6" s="23">
        <f t="shared" si="0"/>
        <v>5</v>
      </c>
      <c r="B6" s="23" t="s">
        <v>102</v>
      </c>
      <c r="C6" s="24">
        <v>45022</v>
      </c>
      <c r="D6" s="23">
        <v>400</v>
      </c>
      <c r="E6" s="23" t="s">
        <v>97</v>
      </c>
      <c r="F6" s="23" t="s">
        <v>101</v>
      </c>
      <c r="G6" s="23">
        <v>6</v>
      </c>
      <c r="H6" s="25">
        <v>5906.9139999999998</v>
      </c>
      <c r="I6" s="25">
        <v>3217070.9761000001</v>
      </c>
    </row>
    <row r="7" spans="1:9" x14ac:dyDescent="0.25">
      <c r="A7" s="23">
        <f t="shared" si="0"/>
        <v>6</v>
      </c>
      <c r="B7" s="23" t="s">
        <v>103</v>
      </c>
      <c r="C7" s="24">
        <v>45022</v>
      </c>
      <c r="D7" s="23">
        <v>400</v>
      </c>
      <c r="E7" s="23" t="s">
        <v>92</v>
      </c>
      <c r="F7" s="23" t="s">
        <v>101</v>
      </c>
      <c r="G7" s="23">
        <v>12</v>
      </c>
      <c r="H7" s="25">
        <v>28717.798999999999</v>
      </c>
      <c r="I7" s="25">
        <v>15640521.6218</v>
      </c>
    </row>
    <row r="8" spans="1:9" x14ac:dyDescent="0.25">
      <c r="A8" s="23">
        <f t="shared" si="0"/>
        <v>7</v>
      </c>
      <c r="B8" s="23" t="s">
        <v>104</v>
      </c>
      <c r="C8" s="24">
        <v>45022</v>
      </c>
      <c r="D8" s="23">
        <v>400</v>
      </c>
      <c r="E8" s="23" t="s">
        <v>105</v>
      </c>
      <c r="F8" s="23" t="s">
        <v>101</v>
      </c>
      <c r="G8" s="23">
        <v>18</v>
      </c>
      <c r="H8" s="25">
        <v>25033.973999999998</v>
      </c>
      <c r="I8" s="25">
        <v>13634207.271400001</v>
      </c>
    </row>
    <row r="9" spans="1:9" x14ac:dyDescent="0.25">
      <c r="A9" s="23">
        <f t="shared" si="0"/>
        <v>8</v>
      </c>
      <c r="B9" s="23" t="s">
        <v>171</v>
      </c>
      <c r="C9" s="24">
        <v>45065</v>
      </c>
      <c r="D9" s="23">
        <v>400</v>
      </c>
      <c r="E9" s="23" t="s">
        <v>144</v>
      </c>
      <c r="F9" s="23" t="s">
        <v>172</v>
      </c>
      <c r="G9" s="23">
        <v>4</v>
      </c>
      <c r="H9" s="25">
        <v>1294.796</v>
      </c>
      <c r="I9" s="25">
        <v>694264.54830000002</v>
      </c>
    </row>
    <row r="10" spans="1:9" x14ac:dyDescent="0.25">
      <c r="A10" s="23">
        <f t="shared" si="0"/>
        <v>9</v>
      </c>
      <c r="B10" s="23" t="s">
        <v>185</v>
      </c>
      <c r="C10" s="24">
        <v>45070</v>
      </c>
      <c r="D10" s="23">
        <v>400</v>
      </c>
      <c r="E10" s="23" t="s">
        <v>186</v>
      </c>
      <c r="F10" s="23" t="s">
        <v>187</v>
      </c>
      <c r="G10" s="23">
        <v>1</v>
      </c>
      <c r="H10" s="25">
        <v>1110.93</v>
      </c>
      <c r="I10" s="25">
        <v>595451.0257</v>
      </c>
    </row>
    <row r="11" spans="1:9" x14ac:dyDescent="0.25">
      <c r="A11" s="23">
        <f t="shared" si="0"/>
        <v>10</v>
      </c>
      <c r="B11" s="23" t="s">
        <v>153</v>
      </c>
      <c r="C11" s="24">
        <v>45090</v>
      </c>
      <c r="D11" s="23">
        <v>400</v>
      </c>
      <c r="E11" s="23" t="s">
        <v>154</v>
      </c>
      <c r="F11" s="23" t="s">
        <v>149</v>
      </c>
      <c r="G11" s="23">
        <v>3</v>
      </c>
      <c r="H11" s="25">
        <v>127.093</v>
      </c>
      <c r="I11" s="25">
        <v>67791.5193</v>
      </c>
    </row>
    <row r="12" spans="1:9" x14ac:dyDescent="0.25">
      <c r="A12" s="23">
        <f t="shared" si="0"/>
        <v>11</v>
      </c>
      <c r="B12" s="23" t="s">
        <v>108</v>
      </c>
      <c r="C12" s="24">
        <v>45124</v>
      </c>
      <c r="D12" s="23">
        <v>400</v>
      </c>
      <c r="E12" s="23" t="s">
        <v>97</v>
      </c>
      <c r="F12" s="23" t="s">
        <v>87</v>
      </c>
      <c r="G12" s="23">
        <v>9</v>
      </c>
      <c r="H12" s="25">
        <v>4880.9390000000003</v>
      </c>
      <c r="I12" s="25">
        <v>2600512.2976000002</v>
      </c>
    </row>
    <row r="13" spans="1:9" x14ac:dyDescent="0.25">
      <c r="A13" s="23">
        <f t="shared" si="0"/>
        <v>12</v>
      </c>
      <c r="B13" s="23" t="s">
        <v>110</v>
      </c>
      <c r="C13" s="24">
        <v>45124</v>
      </c>
      <c r="D13" s="23">
        <v>400</v>
      </c>
      <c r="E13" s="23" t="s">
        <v>105</v>
      </c>
      <c r="F13" s="23" t="s">
        <v>87</v>
      </c>
      <c r="G13" s="23">
        <v>8</v>
      </c>
      <c r="H13" s="25">
        <v>14995.995000000001</v>
      </c>
      <c r="I13" s="25">
        <v>7989705.1103999997</v>
      </c>
    </row>
    <row r="14" spans="1:9" x14ac:dyDescent="0.25">
      <c r="A14" s="23">
        <f t="shared" si="0"/>
        <v>13</v>
      </c>
      <c r="B14" s="23" t="s">
        <v>106</v>
      </c>
      <c r="C14" s="24">
        <v>45127</v>
      </c>
      <c r="D14" s="23">
        <v>400</v>
      </c>
      <c r="E14" s="23" t="s">
        <v>107</v>
      </c>
      <c r="F14" s="23" t="s">
        <v>87</v>
      </c>
      <c r="G14" s="23">
        <v>5</v>
      </c>
      <c r="H14" s="25">
        <v>42704.584000000003</v>
      </c>
      <c r="I14" s="25">
        <v>22763862.5713</v>
      </c>
    </row>
    <row r="15" spans="1:9" x14ac:dyDescent="0.25">
      <c r="A15" s="23">
        <f t="shared" si="0"/>
        <v>14</v>
      </c>
      <c r="B15" s="23" t="s">
        <v>109</v>
      </c>
      <c r="C15" s="24">
        <v>45127</v>
      </c>
      <c r="D15" s="23">
        <v>400</v>
      </c>
      <c r="E15" s="23" t="s">
        <v>92</v>
      </c>
      <c r="F15" s="23" t="s">
        <v>87</v>
      </c>
      <c r="G15" s="23">
        <v>15</v>
      </c>
      <c r="H15" s="25">
        <v>36917.841999999997</v>
      </c>
      <c r="I15" s="25">
        <v>19679214.300299998</v>
      </c>
    </row>
    <row r="16" spans="1:9" x14ac:dyDescent="0.25">
      <c r="A16" s="23">
        <f t="shared" si="0"/>
        <v>15</v>
      </c>
      <c r="B16" s="23" t="s">
        <v>111</v>
      </c>
      <c r="C16" s="24">
        <v>45132</v>
      </c>
      <c r="D16" s="23">
        <v>700</v>
      </c>
      <c r="E16" s="23" t="s">
        <v>107</v>
      </c>
      <c r="F16" s="23" t="s">
        <v>112</v>
      </c>
      <c r="G16" s="23">
        <v>1</v>
      </c>
      <c r="H16" s="25">
        <v>1738.365</v>
      </c>
      <c r="I16" s="25">
        <v>0</v>
      </c>
    </row>
    <row r="17" spans="1:9" x14ac:dyDescent="0.25">
      <c r="A17" s="23">
        <f t="shared" si="0"/>
        <v>16</v>
      </c>
      <c r="B17" s="23" t="s">
        <v>113</v>
      </c>
      <c r="C17" s="24">
        <v>45132</v>
      </c>
      <c r="D17" s="23">
        <v>400</v>
      </c>
      <c r="E17" s="23" t="s">
        <v>114</v>
      </c>
      <c r="F17" s="23" t="s">
        <v>87</v>
      </c>
      <c r="G17" s="23">
        <v>3</v>
      </c>
      <c r="H17" s="25">
        <v>12521.253000000001</v>
      </c>
      <c r="I17" s="25">
        <v>6687937.6903999997</v>
      </c>
    </row>
    <row r="18" spans="1:9" x14ac:dyDescent="0.25">
      <c r="A18" s="23">
        <f t="shared" si="0"/>
        <v>17</v>
      </c>
      <c r="B18" s="23" t="s">
        <v>180</v>
      </c>
      <c r="C18" s="24">
        <v>45146</v>
      </c>
      <c r="D18" s="23">
        <v>400</v>
      </c>
      <c r="E18" s="23" t="s">
        <v>181</v>
      </c>
      <c r="F18" s="23" t="s">
        <v>182</v>
      </c>
      <c r="G18" s="23">
        <v>1</v>
      </c>
      <c r="H18" s="25">
        <v>4024.93</v>
      </c>
      <c r="I18" s="25">
        <v>1394863.6410999999</v>
      </c>
    </row>
    <row r="19" spans="1:9" x14ac:dyDescent="0.25">
      <c r="A19" s="23">
        <f t="shared" si="0"/>
        <v>18</v>
      </c>
      <c r="B19" s="23" t="s">
        <v>115</v>
      </c>
      <c r="C19" s="24">
        <v>45232</v>
      </c>
      <c r="D19" s="23">
        <v>400</v>
      </c>
      <c r="E19" s="23" t="s">
        <v>107</v>
      </c>
      <c r="F19" s="23" t="s">
        <v>116</v>
      </c>
      <c r="G19" s="23">
        <v>1</v>
      </c>
      <c r="H19" s="25">
        <v>1896.329</v>
      </c>
      <c r="I19" s="25">
        <v>1013359.4282</v>
      </c>
    </row>
    <row r="20" spans="1:9" x14ac:dyDescent="0.25">
      <c r="A20" s="23">
        <f t="shared" si="0"/>
        <v>19</v>
      </c>
      <c r="B20" s="23" t="s">
        <v>117</v>
      </c>
      <c r="C20" s="24">
        <v>45233</v>
      </c>
      <c r="D20" s="23">
        <v>400</v>
      </c>
      <c r="E20" s="23" t="s">
        <v>97</v>
      </c>
      <c r="F20" s="23" t="s">
        <v>116</v>
      </c>
      <c r="G20" s="23">
        <v>6</v>
      </c>
      <c r="H20" s="25">
        <v>31702.903999999999</v>
      </c>
      <c r="I20" s="25">
        <v>16935683.643399999</v>
      </c>
    </row>
    <row r="21" spans="1:9" x14ac:dyDescent="0.25">
      <c r="A21" s="23">
        <f t="shared" si="0"/>
        <v>20</v>
      </c>
      <c r="B21" s="23" t="s">
        <v>118</v>
      </c>
      <c r="C21" s="24">
        <v>45233</v>
      </c>
      <c r="D21" s="23">
        <v>400</v>
      </c>
      <c r="E21" s="23" t="s">
        <v>100</v>
      </c>
      <c r="F21" s="23" t="s">
        <v>116</v>
      </c>
      <c r="G21" s="23">
        <v>1</v>
      </c>
      <c r="H21" s="25">
        <v>5269.134</v>
      </c>
      <c r="I21" s="25">
        <v>2814770.0509000001</v>
      </c>
    </row>
    <row r="22" spans="1:9" x14ac:dyDescent="0.25">
      <c r="A22" s="23">
        <f t="shared" si="0"/>
        <v>21</v>
      </c>
      <c r="B22" s="23" t="s">
        <v>188</v>
      </c>
      <c r="C22" s="24">
        <v>45258</v>
      </c>
      <c r="D22" s="23">
        <v>400</v>
      </c>
      <c r="E22" s="23" t="s">
        <v>186</v>
      </c>
      <c r="F22" s="23" t="s">
        <v>187</v>
      </c>
      <c r="G22" s="23">
        <v>2</v>
      </c>
      <c r="H22" s="25">
        <v>1405.355</v>
      </c>
      <c r="I22" s="25">
        <v>748647.39300000004</v>
      </c>
    </row>
    <row r="23" spans="1:9" x14ac:dyDescent="0.25">
      <c r="A23" s="23">
        <f t="shared" si="0"/>
        <v>22</v>
      </c>
      <c r="B23" s="23" t="s">
        <v>76</v>
      </c>
      <c r="C23" s="24">
        <v>45306</v>
      </c>
      <c r="D23" s="23">
        <v>700</v>
      </c>
      <c r="E23" s="23" t="s">
        <v>85</v>
      </c>
      <c r="F23" s="23" t="s">
        <v>86</v>
      </c>
      <c r="G23" s="23">
        <v>3</v>
      </c>
      <c r="H23" s="25">
        <v>10323.499</v>
      </c>
      <c r="I23" s="25">
        <v>0</v>
      </c>
    </row>
    <row r="24" spans="1:9" x14ac:dyDescent="0.25">
      <c r="A24" s="23">
        <f t="shared" si="0"/>
        <v>23</v>
      </c>
      <c r="B24" s="23" t="s">
        <v>183</v>
      </c>
      <c r="C24" s="24">
        <v>45306</v>
      </c>
      <c r="D24" s="23">
        <v>400</v>
      </c>
      <c r="E24" s="23" t="s">
        <v>144</v>
      </c>
      <c r="F24" s="23" t="s">
        <v>184</v>
      </c>
      <c r="G24" s="23">
        <v>3</v>
      </c>
      <c r="H24" s="25">
        <v>2687.9969999999998</v>
      </c>
      <c r="I24" s="25">
        <v>1420386.8217</v>
      </c>
    </row>
    <row r="25" spans="1:9" x14ac:dyDescent="0.25">
      <c r="A25" s="23">
        <f t="shared" si="0"/>
        <v>24</v>
      </c>
      <c r="B25" s="23" t="s">
        <v>77</v>
      </c>
      <c r="C25" s="24">
        <v>45307</v>
      </c>
      <c r="D25" s="23">
        <v>400</v>
      </c>
      <c r="E25" s="23" t="s">
        <v>85</v>
      </c>
      <c r="F25" s="23" t="s">
        <v>87</v>
      </c>
      <c r="G25" s="23">
        <v>4</v>
      </c>
      <c r="H25" s="25">
        <v>9624.9230000000007</v>
      </c>
      <c r="I25" s="25">
        <v>5085985.0317000002</v>
      </c>
    </row>
    <row r="26" spans="1:9" x14ac:dyDescent="0.25">
      <c r="A26" s="23">
        <f t="shared" si="0"/>
        <v>25</v>
      </c>
      <c r="B26" s="23" t="s">
        <v>155</v>
      </c>
      <c r="C26" s="24">
        <v>45342</v>
      </c>
      <c r="D26" s="23">
        <v>400</v>
      </c>
      <c r="E26" s="23" t="s">
        <v>156</v>
      </c>
      <c r="F26" s="23" t="s">
        <v>157</v>
      </c>
      <c r="G26" s="23">
        <v>31</v>
      </c>
      <c r="H26" s="25">
        <v>12541.460999999999</v>
      </c>
      <c r="I26" s="25">
        <v>6592554.9325999999</v>
      </c>
    </row>
    <row r="27" spans="1:9" x14ac:dyDescent="0.25">
      <c r="A27" s="23">
        <f t="shared" si="0"/>
        <v>26</v>
      </c>
      <c r="B27" s="23" t="s">
        <v>131</v>
      </c>
      <c r="C27" s="24">
        <v>45350</v>
      </c>
      <c r="D27" s="23">
        <v>993</v>
      </c>
      <c r="E27" s="23" t="s">
        <v>107</v>
      </c>
      <c r="F27" s="23" t="s">
        <v>132</v>
      </c>
      <c r="G27" s="23">
        <v>1</v>
      </c>
      <c r="H27" s="25">
        <v>474.66899999999998</v>
      </c>
      <c r="I27" s="25">
        <v>0</v>
      </c>
    </row>
    <row r="28" spans="1:9" x14ac:dyDescent="0.25">
      <c r="A28" s="23">
        <f t="shared" si="0"/>
        <v>27</v>
      </c>
      <c r="B28" s="23" t="s">
        <v>158</v>
      </c>
      <c r="C28" s="24">
        <v>45413</v>
      </c>
      <c r="D28" s="23">
        <v>400</v>
      </c>
      <c r="E28" s="23" t="s">
        <v>159</v>
      </c>
      <c r="F28" s="23" t="s">
        <v>157</v>
      </c>
      <c r="G28" s="23">
        <v>1</v>
      </c>
      <c r="H28" s="25">
        <v>8559.5889999999999</v>
      </c>
      <c r="I28" s="25">
        <v>4482113.3223000001</v>
      </c>
    </row>
    <row r="29" spans="1:9" x14ac:dyDescent="0.25">
      <c r="A29" s="23">
        <f t="shared" si="0"/>
        <v>28</v>
      </c>
      <c r="B29" s="23" t="s">
        <v>160</v>
      </c>
      <c r="C29" s="24">
        <v>45414</v>
      </c>
      <c r="D29" s="23">
        <v>400</v>
      </c>
      <c r="E29" s="23" t="s">
        <v>134</v>
      </c>
      <c r="F29" s="23" t="s">
        <v>157</v>
      </c>
      <c r="G29" s="23">
        <v>13</v>
      </c>
      <c r="H29" s="25">
        <v>2297.0520000000001</v>
      </c>
      <c r="I29" s="25">
        <v>1203034.9742000001</v>
      </c>
    </row>
    <row r="30" spans="1:9" x14ac:dyDescent="0.25">
      <c r="A30" s="23">
        <f t="shared" si="0"/>
        <v>29</v>
      </c>
      <c r="B30" s="23" t="s">
        <v>161</v>
      </c>
      <c r="C30" s="24">
        <v>45414</v>
      </c>
      <c r="D30" s="23">
        <v>400</v>
      </c>
      <c r="E30" s="23" t="s">
        <v>134</v>
      </c>
      <c r="F30" s="23" t="s">
        <v>157</v>
      </c>
      <c r="G30" s="23">
        <v>1</v>
      </c>
      <c r="H30" s="25">
        <v>420.012</v>
      </c>
      <c r="I30" s="25">
        <v>219972.65640000001</v>
      </c>
    </row>
    <row r="31" spans="1:9" x14ac:dyDescent="0.25">
      <c r="A31" s="23">
        <f t="shared" si="0"/>
        <v>30</v>
      </c>
      <c r="B31" s="23" t="s">
        <v>162</v>
      </c>
      <c r="C31" s="24">
        <v>45419</v>
      </c>
      <c r="D31" s="23">
        <v>400</v>
      </c>
      <c r="E31" s="23" t="s">
        <v>163</v>
      </c>
      <c r="F31" s="23" t="s">
        <v>157</v>
      </c>
      <c r="G31" s="23">
        <v>4</v>
      </c>
      <c r="H31" s="25">
        <v>4874.424</v>
      </c>
      <c r="I31" s="25">
        <v>2554813.7280999999</v>
      </c>
    </row>
    <row r="32" spans="1:9" x14ac:dyDescent="0.25">
      <c r="A32" s="23">
        <f t="shared" si="0"/>
        <v>31</v>
      </c>
      <c r="B32" s="23" t="s">
        <v>164</v>
      </c>
      <c r="C32" s="24">
        <v>45419</v>
      </c>
      <c r="D32" s="23">
        <v>400</v>
      </c>
      <c r="E32" s="23" t="s">
        <v>163</v>
      </c>
      <c r="F32" s="23" t="s">
        <v>157</v>
      </c>
      <c r="G32" s="23">
        <v>1</v>
      </c>
      <c r="H32" s="25">
        <v>79.736999999999995</v>
      </c>
      <c r="I32" s="25">
        <v>71450.9908</v>
      </c>
    </row>
    <row r="33" spans="1:9" x14ac:dyDescent="0.25">
      <c r="A33" s="23">
        <f t="shared" si="0"/>
        <v>32</v>
      </c>
      <c r="B33" s="23" t="s">
        <v>133</v>
      </c>
      <c r="C33" s="24">
        <v>45420</v>
      </c>
      <c r="D33" s="23">
        <v>400</v>
      </c>
      <c r="E33" s="23" t="s">
        <v>134</v>
      </c>
      <c r="F33" s="23" t="s">
        <v>125</v>
      </c>
      <c r="G33" s="23">
        <v>6</v>
      </c>
      <c r="H33" s="25">
        <v>5335.7870000000003</v>
      </c>
      <c r="I33" s="25">
        <v>2796559.8445000001</v>
      </c>
    </row>
    <row r="34" spans="1:9" x14ac:dyDescent="0.25">
      <c r="A34" s="23">
        <f t="shared" si="0"/>
        <v>33</v>
      </c>
      <c r="B34" s="23" t="s">
        <v>135</v>
      </c>
      <c r="C34" s="24">
        <v>45421</v>
      </c>
      <c r="D34" s="23">
        <v>700</v>
      </c>
      <c r="E34" s="23" t="s">
        <v>134</v>
      </c>
      <c r="F34" s="23" t="s">
        <v>132</v>
      </c>
      <c r="G34" s="23">
        <v>13</v>
      </c>
      <c r="H34" s="25">
        <v>2757.0279999999998</v>
      </c>
      <c r="I34" s="25">
        <v>0</v>
      </c>
    </row>
    <row r="35" spans="1:9" x14ac:dyDescent="0.25">
      <c r="A35" s="23">
        <f t="shared" si="0"/>
        <v>34</v>
      </c>
      <c r="B35" s="23" t="s">
        <v>136</v>
      </c>
      <c r="C35" s="24">
        <v>45427</v>
      </c>
      <c r="D35" s="23">
        <v>400</v>
      </c>
      <c r="E35" s="23" t="s">
        <v>124</v>
      </c>
      <c r="F35" s="23" t="s">
        <v>125</v>
      </c>
      <c r="G35" s="23">
        <v>4</v>
      </c>
      <c r="H35" s="25">
        <v>12406.144</v>
      </c>
      <c r="I35" s="25">
        <v>6502501.5652999999</v>
      </c>
    </row>
    <row r="36" spans="1:9" x14ac:dyDescent="0.25">
      <c r="A36" s="23">
        <f t="shared" si="0"/>
        <v>35</v>
      </c>
      <c r="B36" s="23" t="s">
        <v>137</v>
      </c>
      <c r="C36" s="24">
        <v>45427</v>
      </c>
      <c r="D36" s="23">
        <v>400</v>
      </c>
      <c r="E36" s="23" t="s">
        <v>124</v>
      </c>
      <c r="F36" s="23" t="s">
        <v>125</v>
      </c>
      <c r="G36" s="23">
        <v>2</v>
      </c>
      <c r="H36" s="25">
        <v>145.63800000000001</v>
      </c>
      <c r="I36" s="25">
        <v>76334.175799999997</v>
      </c>
    </row>
    <row r="37" spans="1:9" x14ac:dyDescent="0.25">
      <c r="A37" s="23">
        <f t="shared" si="0"/>
        <v>36</v>
      </c>
      <c r="B37" s="23" t="s">
        <v>138</v>
      </c>
      <c r="C37" s="24">
        <v>45434</v>
      </c>
      <c r="D37" s="23">
        <v>700</v>
      </c>
      <c r="E37" s="23" t="s">
        <v>124</v>
      </c>
      <c r="F37" s="23" t="s">
        <v>132</v>
      </c>
      <c r="G37" s="23">
        <v>7</v>
      </c>
      <c r="H37" s="25">
        <v>6906.3440000000001</v>
      </c>
      <c r="I37" s="25">
        <v>0</v>
      </c>
    </row>
    <row r="38" spans="1:9" x14ac:dyDescent="0.25">
      <c r="A38" s="23">
        <f t="shared" si="0"/>
        <v>37</v>
      </c>
      <c r="B38" s="23" t="s">
        <v>88</v>
      </c>
      <c r="C38" s="24">
        <v>45447</v>
      </c>
      <c r="D38" s="23">
        <v>451</v>
      </c>
      <c r="E38" s="23" t="s">
        <v>89</v>
      </c>
      <c r="F38" s="23" t="s">
        <v>86</v>
      </c>
      <c r="G38" s="23">
        <v>1</v>
      </c>
      <c r="H38" s="25">
        <v>1313.502</v>
      </c>
      <c r="I38" s="25">
        <v>692296.80339999998</v>
      </c>
    </row>
    <row r="39" spans="1:9" x14ac:dyDescent="0.25">
      <c r="A39" s="23">
        <f t="shared" si="0"/>
        <v>38</v>
      </c>
      <c r="B39" s="23" t="s">
        <v>165</v>
      </c>
      <c r="C39" s="24">
        <v>45453</v>
      </c>
      <c r="D39" s="23">
        <v>700</v>
      </c>
      <c r="E39" s="23" t="s">
        <v>163</v>
      </c>
      <c r="F39" s="23" t="s">
        <v>166</v>
      </c>
      <c r="G39" s="23">
        <v>2</v>
      </c>
      <c r="H39" s="25">
        <v>414.85599999999999</v>
      </c>
      <c r="I39" s="25">
        <v>0</v>
      </c>
    </row>
    <row r="40" spans="1:9" x14ac:dyDescent="0.25">
      <c r="A40" s="23">
        <f t="shared" si="0"/>
        <v>39</v>
      </c>
      <c r="B40" s="23" t="s">
        <v>167</v>
      </c>
      <c r="C40" s="24">
        <v>45467</v>
      </c>
      <c r="D40" s="23">
        <v>700</v>
      </c>
      <c r="E40" s="23" t="s">
        <v>163</v>
      </c>
      <c r="F40" s="23" t="s">
        <v>166</v>
      </c>
      <c r="G40" s="23">
        <v>2</v>
      </c>
      <c r="H40" s="25">
        <v>12326.209000000001</v>
      </c>
      <c r="I40" s="25">
        <v>0</v>
      </c>
    </row>
    <row r="41" spans="1:9" x14ac:dyDescent="0.25">
      <c r="A41" s="23">
        <f t="shared" si="0"/>
        <v>40</v>
      </c>
      <c r="B41" s="23" t="s">
        <v>168</v>
      </c>
      <c r="C41" s="24">
        <v>45467</v>
      </c>
      <c r="D41" s="23">
        <v>400</v>
      </c>
      <c r="E41" s="23" t="s">
        <v>163</v>
      </c>
      <c r="F41" s="23" t="s">
        <v>157</v>
      </c>
      <c r="G41" s="23">
        <v>6</v>
      </c>
      <c r="H41" s="25">
        <v>9066.2019999999993</v>
      </c>
      <c r="I41" s="25">
        <v>4750992.7248999998</v>
      </c>
    </row>
    <row r="42" spans="1:9" x14ac:dyDescent="0.25">
      <c r="A42" s="23">
        <f t="shared" si="0"/>
        <v>41</v>
      </c>
      <c r="B42" s="23" t="s">
        <v>119</v>
      </c>
      <c r="C42" s="24">
        <v>45482</v>
      </c>
      <c r="D42" s="23">
        <v>400</v>
      </c>
      <c r="E42" s="23" t="s">
        <v>92</v>
      </c>
      <c r="F42" s="23" t="s">
        <v>87</v>
      </c>
      <c r="G42" s="23">
        <v>1</v>
      </c>
      <c r="H42" s="25">
        <v>315.75</v>
      </c>
      <c r="I42" s="25">
        <v>165462.73689999999</v>
      </c>
    </row>
    <row r="43" spans="1:9" x14ac:dyDescent="0.25">
      <c r="A43" s="23">
        <f t="shared" si="0"/>
        <v>42</v>
      </c>
      <c r="B43" s="23" t="s">
        <v>120</v>
      </c>
      <c r="C43" s="24">
        <v>45482</v>
      </c>
      <c r="D43" s="23">
        <v>700</v>
      </c>
      <c r="E43" s="23" t="s">
        <v>92</v>
      </c>
      <c r="F43" s="23" t="s">
        <v>86</v>
      </c>
      <c r="G43" s="23">
        <v>9</v>
      </c>
      <c r="H43" s="25">
        <v>10024.838</v>
      </c>
      <c r="I43" s="25">
        <v>0</v>
      </c>
    </row>
    <row r="44" spans="1:9" x14ac:dyDescent="0.25">
      <c r="A44" s="23">
        <f t="shared" si="0"/>
        <v>43</v>
      </c>
      <c r="B44" s="23" t="s">
        <v>121</v>
      </c>
      <c r="C44" s="24">
        <v>45482</v>
      </c>
      <c r="D44" s="23">
        <v>400</v>
      </c>
      <c r="E44" s="23" t="s">
        <v>92</v>
      </c>
      <c r="F44" s="23" t="s">
        <v>87</v>
      </c>
      <c r="G44" s="23">
        <v>10</v>
      </c>
      <c r="H44" s="25">
        <v>3574.6</v>
      </c>
      <c r="I44" s="25">
        <v>1873198.1964</v>
      </c>
    </row>
    <row r="45" spans="1:9" x14ac:dyDescent="0.25">
      <c r="A45" s="23">
        <f t="shared" si="0"/>
        <v>44</v>
      </c>
      <c r="B45" s="23" t="s">
        <v>90</v>
      </c>
      <c r="C45" s="24">
        <v>45491</v>
      </c>
      <c r="D45" s="23">
        <v>451</v>
      </c>
      <c r="E45" s="23" t="s">
        <v>85</v>
      </c>
      <c r="F45" s="23" t="s">
        <v>86</v>
      </c>
      <c r="G45" s="23">
        <v>2</v>
      </c>
      <c r="H45" s="25">
        <v>8893.777</v>
      </c>
      <c r="I45" s="25">
        <v>4660828.0307999998</v>
      </c>
    </row>
    <row r="46" spans="1:9" x14ac:dyDescent="0.25">
      <c r="A46" s="23">
        <f t="shared" si="0"/>
        <v>45</v>
      </c>
      <c r="B46" s="23" t="s">
        <v>91</v>
      </c>
      <c r="C46" s="24">
        <v>45496</v>
      </c>
      <c r="D46" s="23">
        <v>451</v>
      </c>
      <c r="E46" s="23" t="s">
        <v>92</v>
      </c>
      <c r="F46" s="23" t="s">
        <v>86</v>
      </c>
      <c r="G46" s="23">
        <v>4</v>
      </c>
      <c r="H46" s="25">
        <v>7913.0370000000003</v>
      </c>
      <c r="I46" s="25">
        <v>4146192.4811</v>
      </c>
    </row>
    <row r="47" spans="1:9" x14ac:dyDescent="0.25">
      <c r="A47" s="23">
        <f t="shared" si="0"/>
        <v>46</v>
      </c>
      <c r="B47" s="23" t="s">
        <v>143</v>
      </c>
      <c r="C47" s="24">
        <v>45499</v>
      </c>
      <c r="D47" s="23">
        <v>993</v>
      </c>
      <c r="E47" s="23" t="s">
        <v>144</v>
      </c>
      <c r="F47" s="23" t="s">
        <v>141</v>
      </c>
      <c r="G47" s="23">
        <v>1</v>
      </c>
      <c r="H47" s="25">
        <v>7.923</v>
      </c>
      <c r="I47" s="25">
        <v>0</v>
      </c>
    </row>
    <row r="48" spans="1:9" x14ac:dyDescent="0.25">
      <c r="A48" s="23">
        <f t="shared" si="0"/>
        <v>47</v>
      </c>
      <c r="B48" s="23" t="s">
        <v>139</v>
      </c>
      <c r="C48" s="24">
        <v>45503</v>
      </c>
      <c r="D48" s="23">
        <v>451</v>
      </c>
      <c r="E48" s="23" t="s">
        <v>140</v>
      </c>
      <c r="F48" s="23" t="s">
        <v>141</v>
      </c>
      <c r="G48" s="23">
        <v>1</v>
      </c>
      <c r="H48" s="25">
        <v>365.30900000000003</v>
      </c>
      <c r="I48" s="25">
        <v>191434.15700000001</v>
      </c>
    </row>
    <row r="49" spans="1:9" x14ac:dyDescent="0.25">
      <c r="A49" s="23">
        <f t="shared" si="0"/>
        <v>48</v>
      </c>
      <c r="B49" s="23" t="s">
        <v>142</v>
      </c>
      <c r="C49" s="24">
        <v>45503</v>
      </c>
      <c r="D49" s="23">
        <v>993</v>
      </c>
      <c r="E49" s="23" t="s">
        <v>140</v>
      </c>
      <c r="F49" s="23" t="s">
        <v>141</v>
      </c>
      <c r="G49" s="23">
        <v>2</v>
      </c>
      <c r="H49" s="25">
        <v>2257.2579999999998</v>
      </c>
      <c r="I49" s="25">
        <v>0</v>
      </c>
    </row>
    <row r="50" spans="1:9" x14ac:dyDescent="0.25">
      <c r="A50" s="23">
        <f t="shared" si="0"/>
        <v>49</v>
      </c>
      <c r="B50" s="23" t="s">
        <v>145</v>
      </c>
      <c r="C50" s="24">
        <v>45504</v>
      </c>
      <c r="D50" s="23">
        <v>993</v>
      </c>
      <c r="E50" s="23" t="s">
        <v>140</v>
      </c>
      <c r="F50" s="23" t="s">
        <v>141</v>
      </c>
      <c r="G50" s="23">
        <v>1</v>
      </c>
      <c r="H50" s="25">
        <v>243.53200000000001</v>
      </c>
      <c r="I50" s="25">
        <v>0</v>
      </c>
    </row>
    <row r="51" spans="1:9" x14ac:dyDescent="0.25">
      <c r="A51" s="23">
        <f t="shared" si="0"/>
        <v>50</v>
      </c>
      <c r="B51" s="23" t="s">
        <v>146</v>
      </c>
      <c r="C51" s="24">
        <v>45504</v>
      </c>
      <c r="D51" s="23">
        <v>993</v>
      </c>
      <c r="E51" s="23" t="s">
        <v>144</v>
      </c>
      <c r="F51" s="23" t="s">
        <v>141</v>
      </c>
      <c r="G51" s="23">
        <v>1</v>
      </c>
      <c r="H51" s="25">
        <v>1181.6690000000001</v>
      </c>
      <c r="I51" s="25">
        <v>0</v>
      </c>
    </row>
    <row r="52" spans="1:9" x14ac:dyDescent="0.25">
      <c r="A52" s="23">
        <f t="shared" si="0"/>
        <v>51</v>
      </c>
      <c r="B52" s="23" t="s">
        <v>93</v>
      </c>
      <c r="C52" s="24">
        <v>45506</v>
      </c>
      <c r="D52" s="23">
        <v>400</v>
      </c>
      <c r="E52" s="23" t="s">
        <v>94</v>
      </c>
      <c r="F52" s="23" t="s">
        <v>87</v>
      </c>
      <c r="G52" s="23">
        <v>3</v>
      </c>
      <c r="H52" s="25">
        <v>8063.9660000000003</v>
      </c>
      <c r="I52" s="25">
        <v>4225786.7686000001</v>
      </c>
    </row>
    <row r="53" spans="1:9" x14ac:dyDescent="0.25">
      <c r="A53" s="23">
        <f t="shared" si="0"/>
        <v>52</v>
      </c>
      <c r="B53" s="23" t="s">
        <v>95</v>
      </c>
      <c r="C53" s="24">
        <v>45513</v>
      </c>
      <c r="D53" s="23">
        <v>400</v>
      </c>
      <c r="E53" s="23" t="s">
        <v>94</v>
      </c>
      <c r="F53" s="23" t="s">
        <v>87</v>
      </c>
      <c r="G53" s="23">
        <v>10</v>
      </c>
      <c r="H53" s="25">
        <v>25362.877</v>
      </c>
      <c r="I53" s="25">
        <v>13291660.594000001</v>
      </c>
    </row>
    <row r="54" spans="1:9" x14ac:dyDescent="0.25">
      <c r="A54" s="23">
        <f t="shared" si="0"/>
        <v>53</v>
      </c>
      <c r="B54" s="23" t="s">
        <v>169</v>
      </c>
      <c r="C54" s="24">
        <v>45519</v>
      </c>
      <c r="D54" s="23">
        <v>451</v>
      </c>
      <c r="E54" s="23" t="s">
        <v>163</v>
      </c>
      <c r="F54" s="23" t="s">
        <v>166</v>
      </c>
      <c r="G54" s="23">
        <v>2</v>
      </c>
      <c r="H54" s="25">
        <v>424.185</v>
      </c>
      <c r="I54" s="25">
        <v>222296.0307</v>
      </c>
    </row>
    <row r="55" spans="1:9" x14ac:dyDescent="0.25">
      <c r="A55" s="23">
        <f t="shared" si="0"/>
        <v>54</v>
      </c>
      <c r="B55" s="23" t="s">
        <v>170</v>
      </c>
      <c r="C55" s="24">
        <v>45526</v>
      </c>
      <c r="D55" s="23">
        <v>451</v>
      </c>
      <c r="E55" s="23" t="s">
        <v>163</v>
      </c>
      <c r="F55" s="23" t="s">
        <v>166</v>
      </c>
      <c r="G55" s="23">
        <v>1</v>
      </c>
      <c r="H55" s="25">
        <v>4747.0690000000004</v>
      </c>
      <c r="I55" s="25">
        <v>2488041.7119</v>
      </c>
    </row>
    <row r="56" spans="1:9" x14ac:dyDescent="0.25">
      <c r="A56" s="23">
        <f t="shared" si="0"/>
        <v>55</v>
      </c>
      <c r="B56" s="23" t="s">
        <v>96</v>
      </c>
      <c r="C56" s="24">
        <v>45534</v>
      </c>
      <c r="D56" s="23">
        <v>400</v>
      </c>
      <c r="E56" s="23" t="s">
        <v>97</v>
      </c>
      <c r="F56" s="23" t="s">
        <v>87</v>
      </c>
      <c r="G56" s="23">
        <v>4</v>
      </c>
      <c r="H56" s="25">
        <v>6416.0060000000003</v>
      </c>
      <c r="I56" s="25">
        <v>3361932.2341999998</v>
      </c>
    </row>
    <row r="57" spans="1:9" x14ac:dyDescent="0.25">
      <c r="A57" s="23">
        <f t="shared" si="0"/>
        <v>56</v>
      </c>
      <c r="B57" s="23" t="s">
        <v>98</v>
      </c>
      <c r="C57" s="24">
        <v>45566</v>
      </c>
      <c r="D57" s="23">
        <v>400</v>
      </c>
      <c r="E57" s="23" t="s">
        <v>94</v>
      </c>
      <c r="F57" s="23" t="s">
        <v>87</v>
      </c>
      <c r="G57" s="23">
        <v>1</v>
      </c>
      <c r="H57" s="25">
        <v>2894.799</v>
      </c>
      <c r="I57" s="25">
        <v>1517087.9918</v>
      </c>
    </row>
    <row r="58" spans="1:9" x14ac:dyDescent="0.25">
      <c r="A58" s="23">
        <f t="shared" si="0"/>
        <v>57</v>
      </c>
      <c r="B58" s="23" t="s">
        <v>174</v>
      </c>
      <c r="C58" s="24">
        <v>45581</v>
      </c>
      <c r="D58" s="23">
        <v>400</v>
      </c>
      <c r="E58" s="23" t="s">
        <v>175</v>
      </c>
      <c r="F58" s="23" t="s">
        <v>157</v>
      </c>
      <c r="G58" s="23">
        <v>5</v>
      </c>
      <c r="H58" s="25">
        <v>1942.915</v>
      </c>
      <c r="I58" s="25">
        <v>1020468.5041</v>
      </c>
    </row>
    <row r="59" spans="1:9" x14ac:dyDescent="0.25">
      <c r="A59" s="23">
        <f t="shared" si="0"/>
        <v>58</v>
      </c>
      <c r="B59" s="23" t="s">
        <v>176</v>
      </c>
      <c r="C59" s="24">
        <v>45583</v>
      </c>
      <c r="D59" s="23">
        <v>700</v>
      </c>
      <c r="E59" s="23" t="s">
        <v>177</v>
      </c>
      <c r="F59" s="23" t="s">
        <v>166</v>
      </c>
      <c r="G59" s="23">
        <v>6</v>
      </c>
      <c r="H59" s="25">
        <v>2103.154</v>
      </c>
      <c r="I59" s="25">
        <v>0</v>
      </c>
    </row>
    <row r="60" spans="1:9" x14ac:dyDescent="0.25">
      <c r="A60" s="23">
        <f t="shared" si="0"/>
        <v>59</v>
      </c>
      <c r="B60" s="23" t="s">
        <v>178</v>
      </c>
      <c r="C60" s="24">
        <v>45583</v>
      </c>
      <c r="D60" s="23">
        <v>400</v>
      </c>
      <c r="E60" s="23" t="s">
        <v>177</v>
      </c>
      <c r="F60" s="23" t="s">
        <v>157</v>
      </c>
      <c r="G60" s="23">
        <v>21</v>
      </c>
      <c r="H60" s="25">
        <v>6172.4570000000003</v>
      </c>
      <c r="I60" s="25">
        <v>3245575.8865</v>
      </c>
    </row>
    <row r="61" spans="1:9" x14ac:dyDescent="0.25">
      <c r="A61" s="23">
        <f t="shared" si="0"/>
        <v>60</v>
      </c>
      <c r="B61" s="23" t="s">
        <v>123</v>
      </c>
      <c r="C61" s="24">
        <v>45617</v>
      </c>
      <c r="D61" s="23">
        <v>400</v>
      </c>
      <c r="E61" s="23" t="s">
        <v>124</v>
      </c>
      <c r="F61" s="23" t="s">
        <v>125</v>
      </c>
      <c r="G61" s="23">
        <v>20</v>
      </c>
      <c r="H61" s="25">
        <v>15184.758</v>
      </c>
      <c r="I61" s="25">
        <v>8037838.3114</v>
      </c>
    </row>
    <row r="62" spans="1:9" x14ac:dyDescent="0.25">
      <c r="A62" s="23">
        <f t="shared" si="0"/>
        <v>61</v>
      </c>
      <c r="B62" s="23" t="s">
        <v>126</v>
      </c>
      <c r="C62" s="24">
        <v>45617</v>
      </c>
      <c r="D62" s="23">
        <v>400</v>
      </c>
      <c r="E62" s="23" t="s">
        <v>124</v>
      </c>
      <c r="F62" s="23" t="s">
        <v>125</v>
      </c>
      <c r="G62" s="23">
        <v>7</v>
      </c>
      <c r="H62" s="25">
        <v>332.41199999999998</v>
      </c>
      <c r="I62" s="25">
        <v>175957.76190000001</v>
      </c>
    </row>
    <row r="63" spans="1:9" x14ac:dyDescent="0.25">
      <c r="A63" s="23">
        <f t="shared" si="0"/>
        <v>62</v>
      </c>
      <c r="B63" s="23" t="s">
        <v>173</v>
      </c>
      <c r="C63" s="24">
        <v>45636</v>
      </c>
      <c r="D63" s="23">
        <v>400</v>
      </c>
      <c r="E63" s="23" t="s">
        <v>128</v>
      </c>
      <c r="F63" s="23" t="s">
        <v>157</v>
      </c>
      <c r="G63" s="23">
        <v>29</v>
      </c>
      <c r="H63" s="25">
        <v>7591.9849999999997</v>
      </c>
      <c r="I63" s="25">
        <v>4022017.6675</v>
      </c>
    </row>
    <row r="64" spans="1:9" x14ac:dyDescent="0.25">
      <c r="A64" s="23">
        <f t="shared" si="0"/>
        <v>63</v>
      </c>
      <c r="B64" s="23" t="s">
        <v>122</v>
      </c>
      <c r="C64" s="24">
        <v>45671</v>
      </c>
      <c r="D64" s="23">
        <v>451</v>
      </c>
      <c r="E64" s="23" t="s">
        <v>107</v>
      </c>
      <c r="F64" s="23" t="s">
        <v>112</v>
      </c>
      <c r="G64" s="23">
        <v>1</v>
      </c>
      <c r="H64" s="25">
        <v>1602.586</v>
      </c>
      <c r="I64" s="25">
        <v>851046.11910000001</v>
      </c>
    </row>
    <row r="65" spans="1:9" x14ac:dyDescent="0.25">
      <c r="A65" s="23">
        <f t="shared" si="0"/>
        <v>64</v>
      </c>
      <c r="B65" s="23" t="s">
        <v>179</v>
      </c>
      <c r="C65" s="24">
        <v>45671</v>
      </c>
      <c r="D65" s="23">
        <v>451</v>
      </c>
      <c r="E65" s="23" t="s">
        <v>163</v>
      </c>
      <c r="F65" s="23" t="s">
        <v>166</v>
      </c>
      <c r="G65" s="23">
        <v>1</v>
      </c>
      <c r="H65" s="25">
        <v>7430.3220000000001</v>
      </c>
      <c r="I65" s="25">
        <v>3945838.9970999998</v>
      </c>
    </row>
    <row r="66" spans="1:9" x14ac:dyDescent="0.25">
      <c r="A66" s="23">
        <f t="shared" si="0"/>
        <v>65</v>
      </c>
      <c r="B66" s="23" t="s">
        <v>127</v>
      </c>
      <c r="C66" s="24">
        <v>45730</v>
      </c>
      <c r="D66" s="23">
        <v>400</v>
      </c>
      <c r="E66" s="23" t="s">
        <v>128</v>
      </c>
      <c r="F66" s="23" t="s">
        <v>101</v>
      </c>
      <c r="G66" s="23">
        <v>1</v>
      </c>
      <c r="H66" s="25">
        <v>1255.0260000000001</v>
      </c>
      <c r="I66" s="25">
        <v>675161.72549999994</v>
      </c>
    </row>
    <row r="67" spans="1:9" x14ac:dyDescent="0.25">
      <c r="A67" s="23">
        <f t="shared" si="0"/>
        <v>66</v>
      </c>
      <c r="B67" s="23" t="s">
        <v>129</v>
      </c>
      <c r="C67" s="24">
        <v>45755</v>
      </c>
      <c r="D67" s="23">
        <v>400</v>
      </c>
      <c r="E67" s="23" t="s">
        <v>130</v>
      </c>
      <c r="F67" s="23" t="s">
        <v>101</v>
      </c>
      <c r="G67" s="23">
        <v>1</v>
      </c>
      <c r="H67" s="25">
        <v>5853.299</v>
      </c>
      <c r="I67" s="25">
        <v>3183035.7055000002</v>
      </c>
    </row>
  </sheetData>
  <sortState xmlns:xlrd2="http://schemas.microsoft.com/office/spreadsheetml/2017/richdata2" ref="A2:I67">
    <sortCondition ref="C8:C67"/>
  </sortState>
  <pageMargins left="0.2" right="0.2" top="0.25" bottom="0.25" header="0.3" footer="0.3"/>
  <pageSetup scale="59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Bayarjargal Otgonbayar</cp:lastModifiedBy>
  <cp:lastPrinted>2025-07-03T02:01:59Z</cp:lastPrinted>
  <dcterms:created xsi:type="dcterms:W3CDTF">2025-07-02T06:11:04Z</dcterms:created>
  <dcterms:modified xsi:type="dcterms:W3CDTF">2025-07-03T23:21:54Z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