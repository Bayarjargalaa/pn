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PN тооцоо\"/>
    </mc:Choice>
  </mc:AlternateContent>
  <xr:revisionPtr revIDLastSave="0" documentId="13_ncr:1_{D689D6F7-137B-4267-A047-0D29640231E8}" xr6:coauthVersionLast="47" xr6:coauthVersionMax="47" xr10:uidLastSave="{00000000-0000-0000-0000-000000000000}"/>
  <bookViews>
    <workbookView minimized="1" xWindow="20010" yWindow="8145" windowWidth="2400" windowHeight="585" xr2:uid="{91055EA3-88F6-41F4-ABB9-A83907E6226E}"/>
  </bookViews>
  <sheets>
    <sheet name="Бараа материал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O5" i="1"/>
  <c r="O4" i="1"/>
  <c r="G23" i="1"/>
  <c r="F6" i="1"/>
  <c r="C5" i="1"/>
  <c r="C10" i="1" s="1"/>
  <c r="B6" i="1"/>
  <c r="B4" i="1"/>
  <c r="B2" i="1"/>
  <c r="B5" i="1" s="1"/>
  <c r="B10" i="1" l="1"/>
</calcChain>
</file>

<file path=xl/sharedStrings.xml><?xml version="1.0" encoding="utf-8"?>
<sst xmlns="http://schemas.openxmlformats.org/spreadsheetml/2006/main" count="40" uniqueCount="32">
  <si>
    <t>Эхний үлдэгдэл</t>
  </si>
  <si>
    <t>Татан авалт</t>
  </si>
  <si>
    <t>Худалдан авалт</t>
  </si>
  <si>
    <t>Нийт бараа</t>
  </si>
  <si>
    <t>Борлуулалт</t>
  </si>
  <si>
    <t>Төрөл</t>
  </si>
  <si>
    <t>Тоо</t>
  </si>
  <si>
    <t>Зарлага</t>
  </si>
  <si>
    <t>Актлалт</t>
  </si>
  <si>
    <t>Буцаалт</t>
  </si>
  <si>
    <t>Дүн</t>
  </si>
  <si>
    <t>Борлуулалтын өртөг</t>
  </si>
  <si>
    <t>Зарагдсан үнээр</t>
  </si>
  <si>
    <t>100101 - Касс дахь мөнгө /Дэлгүүр/</t>
  </si>
  <si>
    <t>100102 - Касс дахь мөнгө /Gold's/</t>
  </si>
  <si>
    <t>120101 - Дансны авлага</t>
  </si>
  <si>
    <t>310101 - Дансны өглөг</t>
  </si>
  <si>
    <t>340104 - Бусад урт хугацаат өр төлбөр</t>
  </si>
  <si>
    <t>Дебет - ₮</t>
  </si>
  <si>
    <t>110101 - Үндсэн данс /417035100/</t>
  </si>
  <si>
    <t>110103 - Дэлгүүрийн данс /406150539/</t>
  </si>
  <si>
    <t>110104 - Дэлгүүрийн ПОС /490015688/</t>
  </si>
  <si>
    <t>110106 - Gold's ПОС /490029281/</t>
  </si>
  <si>
    <t>120601 - Ажиллагчдаас авах авлага</t>
  </si>
  <si>
    <t>310601 - НӨАТ - ын өглөг</t>
  </si>
  <si>
    <t>520201 - Борлуулалтын буцаалт</t>
  </si>
  <si>
    <t>712601 - Бусад зардал</t>
  </si>
  <si>
    <t>870901 - Баримтаар нотлогдохгүй байгаа зардал</t>
  </si>
  <si>
    <t>Нийт</t>
  </si>
  <si>
    <t>110105 - Gold's данс /406150540/</t>
  </si>
  <si>
    <t>700201 - Аж ахуйн нэгжээс төлсөн НДШ-ийн зардал</t>
  </si>
  <si>
    <t>Авлага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</si>
</sst>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.25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0" applyNumberFormat="1"/>
    <xf numFmtId="43" fontId="0" fillId="0" borderId="0" xfId="1" applyFont="1"/>
    <xf numFmtId="0" fontId="0" fillId="0" borderId="1" xfId="0" applyBorder="1"/>
    <xf numFmtId="43" fontId="0" fillId="0" borderId="1" xfId="0" applyNumberFormat="1" applyBorder="1"/>
    <xf numFmtId="43" fontId="0" fillId="0" borderId="1" xfId="1" applyFont="1" applyBorder="1"/>
    <xf numFmtId="49" fontId="2" fillId="2" borderId="1" xfId="0" applyNumberFormat="1" applyFont="1" applyFill="1" applyBorder="1" applyAlignment="1">
      <alignment horizontal="left" vertical="center" readingOrder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43" fontId="0" fillId="0" borderId="1" xfId="1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43" fontId="0" fillId="3" borderId="1" xfId="1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43" fontId="0" fillId="4" borderId="1" xfId="1" applyFont="1" applyFill="1" applyBorder="1" applyAlignment="1">
      <alignment vertical="center" wrapText="1"/>
    </xf>
    <xf numFmtId="43" fontId="0" fillId="5" borderId="1" xfId="1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5</xdr:row>
      <xdr:rowOff>0</xdr:rowOff>
    </xdr:from>
    <xdr:to>
      <xdr:col>3</xdr:col>
      <xdr:colOff>523875</xdr:colOff>
      <xdr:row>6</xdr:row>
      <xdr:rowOff>19050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8B3E965A-1682-3003-7CF9-0AFCAA00FBBB}"/>
            </a:ext>
          </a:extLst>
        </xdr:cNvPr>
        <xdr:cNvSpPr/>
      </xdr:nvSpPr>
      <xdr:spPr>
        <a:xfrm>
          <a:off x="2952750" y="923925"/>
          <a:ext cx="476250" cy="1809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128587</xdr:colOff>
      <xdr:row>6</xdr:row>
      <xdr:rowOff>33339</xdr:rowOff>
    </xdr:from>
    <xdr:to>
      <xdr:col>5</xdr:col>
      <xdr:colOff>252412</xdr:colOff>
      <xdr:row>9</xdr:row>
      <xdr:rowOff>23814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605E0716-2F4A-4DAE-8E23-1DF22AD7EE43}"/>
            </a:ext>
          </a:extLst>
        </xdr:cNvPr>
        <xdr:cNvSpPr/>
      </xdr:nvSpPr>
      <xdr:spPr>
        <a:xfrm rot="5400000">
          <a:off x="5372100" y="1295401"/>
          <a:ext cx="476250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147637</xdr:colOff>
      <xdr:row>11</xdr:row>
      <xdr:rowOff>100016</xdr:rowOff>
    </xdr:from>
    <xdr:to>
      <xdr:col>5</xdr:col>
      <xdr:colOff>271462</xdr:colOff>
      <xdr:row>14</xdr:row>
      <xdr:rowOff>90491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855D6F81-C79A-441B-9083-F2F23557C39E}"/>
            </a:ext>
          </a:extLst>
        </xdr:cNvPr>
        <xdr:cNvSpPr/>
      </xdr:nvSpPr>
      <xdr:spPr>
        <a:xfrm rot="5400000">
          <a:off x="5391150" y="2171703"/>
          <a:ext cx="476250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1122553</xdr:colOff>
      <xdr:row>12</xdr:row>
      <xdr:rowOff>58018</xdr:rowOff>
    </xdr:from>
    <xdr:to>
      <xdr:col>9</xdr:col>
      <xdr:colOff>55117</xdr:colOff>
      <xdr:row>13</xdr:row>
      <xdr:rowOff>45596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AA995FBF-B4DF-45B8-BE13-1FB78DD26465}"/>
            </a:ext>
          </a:extLst>
        </xdr:cNvPr>
        <xdr:cNvSpPr/>
      </xdr:nvSpPr>
      <xdr:spPr>
        <a:xfrm rot="19704432">
          <a:off x="7313803" y="2115418"/>
          <a:ext cx="1275714" cy="149503"/>
        </a:xfrm>
        <a:prstGeom prst="rightArrow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1093978</xdr:colOff>
      <xdr:row>17</xdr:row>
      <xdr:rowOff>77069</xdr:rowOff>
    </xdr:from>
    <xdr:to>
      <xdr:col>9</xdr:col>
      <xdr:colOff>26542</xdr:colOff>
      <xdr:row>18</xdr:row>
      <xdr:rowOff>36072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043D5383-2BF1-49F3-A41F-D33C0F4AD83E}"/>
            </a:ext>
          </a:extLst>
        </xdr:cNvPr>
        <xdr:cNvSpPr/>
      </xdr:nvSpPr>
      <xdr:spPr>
        <a:xfrm rot="1824730">
          <a:off x="7285228" y="3163169"/>
          <a:ext cx="1275714" cy="149503"/>
        </a:xfrm>
        <a:prstGeom prst="rightArrow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PN%20&#1090;&#1086;&#1086;&#1094;&#1086;&#1086;\data\PN%20&#1090;&#1086;&#1086;&#1094;&#1086;&#1086;.xlsx" TargetMode="External"/><Relationship Id="rId1" Type="http://schemas.openxmlformats.org/officeDocument/2006/relationships/externalLinkPath" Target="data/PN%20&#1090;&#1086;&#1086;&#1094;&#1086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дансны нэр"/>
      <sheetName val="Sheet1"/>
      <sheetName val="Нэгтгэл"/>
      <sheetName val="Барааны С1 2023.03.17"/>
      <sheetName val="Sheet2"/>
      <sheetName val="ЕЖ"/>
      <sheetName val="Кредит нэгтгэл"/>
      <sheetName val="Sheet10"/>
      <sheetName val="Дебет нэгтгэл"/>
      <sheetName val="Татан авалт"/>
    </sheetNames>
    <sheetDataSet>
      <sheetData sheetId="0"/>
      <sheetData sheetId="1"/>
      <sheetData sheetId="2"/>
      <sheetData sheetId="3">
        <row r="2">
          <cell r="G2">
            <v>1</v>
          </cell>
        </row>
        <row r="3">
          <cell r="G3">
            <v>1</v>
          </cell>
        </row>
        <row r="4">
          <cell r="G4">
            <v>95</v>
          </cell>
        </row>
        <row r="5">
          <cell r="G5">
            <v>174</v>
          </cell>
        </row>
        <row r="6">
          <cell r="G6">
            <v>84</v>
          </cell>
        </row>
        <row r="7">
          <cell r="G7">
            <v>493</v>
          </cell>
        </row>
        <row r="8">
          <cell r="G8">
            <v>47</v>
          </cell>
        </row>
        <row r="9">
          <cell r="G9">
            <v>182</v>
          </cell>
        </row>
        <row r="10">
          <cell r="G10">
            <v>263</v>
          </cell>
        </row>
        <row r="11">
          <cell r="G11">
            <v>108</v>
          </cell>
        </row>
        <row r="12">
          <cell r="G12">
            <v>75</v>
          </cell>
        </row>
        <row r="13">
          <cell r="G13">
            <v>73</v>
          </cell>
        </row>
        <row r="14">
          <cell r="G14">
            <v>208</v>
          </cell>
        </row>
        <row r="15">
          <cell r="G15">
            <v>140</v>
          </cell>
        </row>
        <row r="16">
          <cell r="G16">
            <v>150</v>
          </cell>
        </row>
        <row r="17">
          <cell r="G17">
            <v>177</v>
          </cell>
        </row>
        <row r="18">
          <cell r="G18">
            <v>25</v>
          </cell>
        </row>
        <row r="19">
          <cell r="G19">
            <v>22</v>
          </cell>
        </row>
        <row r="20">
          <cell r="G20">
            <v>33</v>
          </cell>
        </row>
        <row r="21">
          <cell r="G21">
            <v>26</v>
          </cell>
        </row>
        <row r="22">
          <cell r="G22">
            <v>61</v>
          </cell>
        </row>
        <row r="23">
          <cell r="G23">
            <v>139</v>
          </cell>
        </row>
        <row r="24">
          <cell r="G24">
            <v>20</v>
          </cell>
        </row>
        <row r="25">
          <cell r="G25">
            <v>36</v>
          </cell>
        </row>
        <row r="26">
          <cell r="G26">
            <v>89</v>
          </cell>
        </row>
        <row r="27">
          <cell r="G27">
            <v>1</v>
          </cell>
        </row>
        <row r="28">
          <cell r="G28">
            <v>90</v>
          </cell>
        </row>
        <row r="29">
          <cell r="G29">
            <v>62</v>
          </cell>
        </row>
        <row r="30">
          <cell r="G30">
            <v>6</v>
          </cell>
        </row>
        <row r="31">
          <cell r="G31">
            <v>8</v>
          </cell>
        </row>
        <row r="32">
          <cell r="G32">
            <v>1</v>
          </cell>
        </row>
        <row r="33">
          <cell r="G33">
            <v>0</v>
          </cell>
        </row>
        <row r="34">
          <cell r="G34">
            <v>16</v>
          </cell>
        </row>
        <row r="35">
          <cell r="G35">
            <v>2</v>
          </cell>
        </row>
        <row r="36">
          <cell r="G36">
            <v>2</v>
          </cell>
        </row>
        <row r="37">
          <cell r="G37">
            <v>5</v>
          </cell>
        </row>
        <row r="38">
          <cell r="G38">
            <v>1</v>
          </cell>
        </row>
        <row r="39">
          <cell r="G39">
            <v>28</v>
          </cell>
        </row>
        <row r="40">
          <cell r="G40">
            <v>3</v>
          </cell>
        </row>
        <row r="41">
          <cell r="G41">
            <v>21</v>
          </cell>
        </row>
        <row r="42">
          <cell r="G42">
            <v>173</v>
          </cell>
        </row>
        <row r="43">
          <cell r="G43">
            <v>405</v>
          </cell>
        </row>
        <row r="44">
          <cell r="G44">
            <v>100</v>
          </cell>
        </row>
        <row r="45">
          <cell r="G45">
            <v>20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10917</v>
          </cell>
        </row>
        <row r="49">
          <cell r="G49">
            <v>15793</v>
          </cell>
        </row>
        <row r="50">
          <cell r="G50">
            <v>36702</v>
          </cell>
        </row>
        <row r="51">
          <cell r="G51">
            <v>23</v>
          </cell>
        </row>
        <row r="52">
          <cell r="G52">
            <v>132</v>
          </cell>
        </row>
        <row r="53">
          <cell r="G53">
            <v>1</v>
          </cell>
        </row>
        <row r="54">
          <cell r="G54">
            <v>3</v>
          </cell>
        </row>
        <row r="55">
          <cell r="G55">
            <v>9</v>
          </cell>
        </row>
        <row r="56">
          <cell r="G56">
            <v>7</v>
          </cell>
        </row>
        <row r="57">
          <cell r="G57">
            <v>8</v>
          </cell>
        </row>
        <row r="58">
          <cell r="G58">
            <v>82</v>
          </cell>
        </row>
        <row r="59">
          <cell r="G59">
            <v>26607</v>
          </cell>
        </row>
        <row r="60">
          <cell r="G60">
            <v>16098</v>
          </cell>
        </row>
        <row r="61">
          <cell r="G61">
            <v>0</v>
          </cell>
        </row>
        <row r="62">
          <cell r="G62">
            <v>114</v>
          </cell>
        </row>
        <row r="63">
          <cell r="G63">
            <v>153</v>
          </cell>
        </row>
        <row r="64">
          <cell r="G64">
            <v>1</v>
          </cell>
        </row>
        <row r="65">
          <cell r="G65">
            <v>41</v>
          </cell>
        </row>
        <row r="66">
          <cell r="G66">
            <v>9383</v>
          </cell>
        </row>
        <row r="67">
          <cell r="G67">
            <v>8173</v>
          </cell>
        </row>
        <row r="68">
          <cell r="G68">
            <v>12310</v>
          </cell>
        </row>
        <row r="69">
          <cell r="G69">
            <v>21</v>
          </cell>
        </row>
        <row r="70">
          <cell r="G70">
            <v>495</v>
          </cell>
        </row>
        <row r="71">
          <cell r="G71">
            <v>11</v>
          </cell>
        </row>
        <row r="72">
          <cell r="G72">
            <v>500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4A3F-20FE-43F8-8416-D5F91CFD2372}">
  <dimension ref="A1:O25"/>
  <sheetViews>
    <sheetView tabSelected="1" workbookViewId="0">
      <selection activeCell="G25" sqref="G25"/>
    </sheetView>
  </sheetViews>
  <sheetFormatPr defaultRowHeight="15" x14ac:dyDescent="0.25"/>
  <cols>
    <col min="1" max="1" width="15.140625" bestFit="1" customWidth="1"/>
    <col min="2" max="2" width="11.5703125" bestFit="1" customWidth="1"/>
    <col min="3" max="3" width="16.85546875" bestFit="1" customWidth="1"/>
    <col min="5" max="5" width="28.5703125" customWidth="1"/>
    <col min="6" max="6" width="11.5703125" bestFit="1" customWidth="1"/>
    <col min="7" max="7" width="16.85546875" bestFit="1" customWidth="1"/>
    <col min="10" max="10" width="3" bestFit="1" customWidth="1"/>
    <col min="11" max="11" width="45.28515625" customWidth="1"/>
    <col min="12" max="12" width="14.7109375" style="2" bestFit="1" customWidth="1"/>
    <col min="15" max="15" width="16.85546875" bestFit="1" customWidth="1"/>
  </cols>
  <sheetData>
    <row r="1" spans="1:15" x14ac:dyDescent="0.25">
      <c r="A1" s="3" t="s">
        <v>5</v>
      </c>
      <c r="B1" s="3" t="s">
        <v>6</v>
      </c>
      <c r="C1" s="3" t="s">
        <v>10</v>
      </c>
    </row>
    <row r="2" spans="1:15" x14ac:dyDescent="0.25">
      <c r="A2" s="3" t="s">
        <v>0</v>
      </c>
      <c r="B2" s="4">
        <f>SUM('[1]Барааны С1 2023.03.17'!$G$2:$G$72)</f>
        <v>141250</v>
      </c>
      <c r="C2" s="5">
        <v>409795256.049999</v>
      </c>
    </row>
    <row r="3" spans="1:15" x14ac:dyDescent="0.25">
      <c r="A3" s="6" t="s">
        <v>1</v>
      </c>
      <c r="B3" s="5">
        <v>149713</v>
      </c>
      <c r="C3" s="5">
        <v>1654022374.1800001</v>
      </c>
    </row>
    <row r="4" spans="1:15" x14ac:dyDescent="0.25">
      <c r="A4" s="6" t="s">
        <v>2</v>
      </c>
      <c r="B4" s="4">
        <f>185432-1513-B3</f>
        <v>34206</v>
      </c>
      <c r="C4" s="5">
        <v>364836927.25999999</v>
      </c>
      <c r="O4" s="1">
        <f>+L5+L6+L7+L18+L19</f>
        <v>1522001774</v>
      </c>
    </row>
    <row r="5" spans="1:15" ht="12.95" customHeight="1" x14ac:dyDescent="0.25">
      <c r="A5" s="3" t="s">
        <v>3</v>
      </c>
      <c r="B5" s="4">
        <f>+B2+B3+B4</f>
        <v>325169</v>
      </c>
      <c r="C5" s="4">
        <f>+C2+C3+C4</f>
        <v>2428654557.4899988</v>
      </c>
      <c r="J5" s="7"/>
      <c r="K5" s="10" t="s">
        <v>19</v>
      </c>
      <c r="L5" s="11">
        <v>21523869.25</v>
      </c>
      <c r="O5" s="1">
        <f>+L9+L10+L20</f>
        <v>52328623.950000003</v>
      </c>
    </row>
    <row r="6" spans="1:15" ht="12.95" customHeight="1" x14ac:dyDescent="0.25">
      <c r="A6" s="3" t="s">
        <v>4</v>
      </c>
      <c r="B6" s="5">
        <f>204400+69579+2</f>
        <v>273981</v>
      </c>
      <c r="C6" s="5">
        <v>2103139489.46</v>
      </c>
      <c r="E6" s="3" t="s">
        <v>11</v>
      </c>
      <c r="F6" s="5">
        <f>204400+69579+2</f>
        <v>273981</v>
      </c>
      <c r="G6" s="5">
        <v>2103139489.46</v>
      </c>
      <c r="J6" s="7"/>
      <c r="K6" s="10" t="s">
        <v>20</v>
      </c>
      <c r="L6" s="11">
        <v>562610879.63</v>
      </c>
      <c r="O6" s="1"/>
    </row>
    <row r="7" spans="1:15" ht="12.95" customHeight="1" x14ac:dyDescent="0.25">
      <c r="A7" s="3" t="s">
        <v>7</v>
      </c>
      <c r="B7" s="5">
        <v>47812</v>
      </c>
      <c r="C7" s="5">
        <v>228046938.519999</v>
      </c>
      <c r="J7" s="7"/>
      <c r="K7" s="10" t="s">
        <v>21</v>
      </c>
      <c r="L7" s="11">
        <v>247649113.99000001</v>
      </c>
    </row>
    <row r="8" spans="1:15" ht="12.95" customHeight="1" x14ac:dyDescent="0.25">
      <c r="A8" s="3" t="s">
        <v>8</v>
      </c>
      <c r="B8" s="5">
        <v>49</v>
      </c>
      <c r="C8" s="5">
        <v>2365064.5099999998</v>
      </c>
      <c r="J8" s="7"/>
      <c r="K8" s="10" t="s">
        <v>22</v>
      </c>
      <c r="L8" s="11">
        <v>0.02</v>
      </c>
    </row>
    <row r="9" spans="1:15" ht="12.95" customHeight="1" x14ac:dyDescent="0.25">
      <c r="A9" s="3" t="s">
        <v>9</v>
      </c>
      <c r="B9" s="5">
        <v>897</v>
      </c>
      <c r="C9" s="5">
        <v>43387672.740000002</v>
      </c>
      <c r="J9" s="7"/>
      <c r="K9" s="10" t="s">
        <v>15</v>
      </c>
      <c r="L9" s="14">
        <v>33672810.530000001</v>
      </c>
    </row>
    <row r="10" spans="1:15" ht="12.95" customHeight="1" x14ac:dyDescent="0.25">
      <c r="A10" s="3"/>
      <c r="B10" s="4">
        <f>+B5-B6-B7-B8-B9</f>
        <v>2430</v>
      </c>
      <c r="C10" s="5">
        <f>+C5-C6-C7-C8-C9</f>
        <v>51715392.259999774</v>
      </c>
      <c r="J10" s="7"/>
      <c r="K10" s="10" t="s">
        <v>23</v>
      </c>
      <c r="L10" s="14">
        <v>14731500</v>
      </c>
    </row>
    <row r="11" spans="1:15" ht="12.95" customHeight="1" x14ac:dyDescent="0.25">
      <c r="E11" s="3" t="s">
        <v>12</v>
      </c>
      <c r="F11" s="3"/>
      <c r="G11" s="5">
        <v>3831100620.7599902</v>
      </c>
      <c r="J11" s="7"/>
      <c r="K11" s="10" t="s">
        <v>16</v>
      </c>
      <c r="L11" s="11">
        <v>697800</v>
      </c>
    </row>
    <row r="12" spans="1:15" ht="12.95" customHeight="1" x14ac:dyDescent="0.25">
      <c r="J12" s="7"/>
      <c r="K12" s="10" t="s">
        <v>24</v>
      </c>
      <c r="L12" s="11">
        <v>598347.81000000006</v>
      </c>
    </row>
    <row r="13" spans="1:15" ht="12.95" customHeight="1" x14ac:dyDescent="0.25">
      <c r="J13" s="7"/>
      <c r="K13" s="10" t="s">
        <v>25</v>
      </c>
      <c r="L13" s="11">
        <v>6163378.1899999902</v>
      </c>
    </row>
    <row r="14" spans="1:15" ht="12.95" customHeight="1" x14ac:dyDescent="0.25">
      <c r="D14" s="7"/>
      <c r="J14" s="7"/>
      <c r="K14" s="10" t="s">
        <v>26</v>
      </c>
      <c r="L14" s="11">
        <v>707515.47</v>
      </c>
    </row>
    <row r="15" spans="1:15" ht="12.95" customHeight="1" x14ac:dyDescent="0.25">
      <c r="D15" s="7"/>
      <c r="J15" s="7"/>
      <c r="K15" s="10" t="s">
        <v>27</v>
      </c>
      <c r="L15" s="11">
        <v>803842.9</v>
      </c>
    </row>
    <row r="16" spans="1:15" ht="12.95" customHeight="1" x14ac:dyDescent="0.25">
      <c r="D16" s="7"/>
      <c r="E16" s="10" t="s">
        <v>13</v>
      </c>
      <c r="F16" s="10">
        <v>881393483.49000001</v>
      </c>
      <c r="G16" s="11">
        <v>881393483.49000001</v>
      </c>
      <c r="J16" s="7"/>
      <c r="K16" s="10" t="s">
        <v>28</v>
      </c>
      <c r="L16" s="11">
        <v>889159057.78999996</v>
      </c>
    </row>
    <row r="17" spans="1:12" ht="30" x14ac:dyDescent="0.25">
      <c r="D17" s="7"/>
      <c r="E17" s="12" t="s">
        <v>14</v>
      </c>
      <c r="F17" s="12">
        <v>691174423</v>
      </c>
      <c r="G17" s="13">
        <v>691174423</v>
      </c>
    </row>
    <row r="18" spans="1:12" x14ac:dyDescent="0.25">
      <c r="D18" s="7"/>
      <c r="E18" s="8" t="s">
        <v>15</v>
      </c>
      <c r="F18" s="8">
        <v>1448105246.48</v>
      </c>
      <c r="G18" s="9">
        <v>1448105246.48</v>
      </c>
      <c r="K18" s="12" t="s">
        <v>29</v>
      </c>
      <c r="L18" s="13">
        <v>359610887.51999998</v>
      </c>
    </row>
    <row r="19" spans="1:12" x14ac:dyDescent="0.25">
      <c r="D19" s="7"/>
      <c r="E19" s="8" t="s">
        <v>16</v>
      </c>
      <c r="F19" s="8">
        <v>748528342.38</v>
      </c>
      <c r="G19" s="9">
        <v>748528342.38</v>
      </c>
      <c r="K19" s="12" t="s">
        <v>22</v>
      </c>
      <c r="L19" s="13">
        <v>330607023.61000001</v>
      </c>
    </row>
    <row r="20" spans="1:12" ht="30" x14ac:dyDescent="0.25">
      <c r="E20" s="8" t="s">
        <v>17</v>
      </c>
      <c r="F20" s="8">
        <v>61899125.409999996</v>
      </c>
      <c r="G20" s="9">
        <v>61899125.409999996</v>
      </c>
      <c r="K20" s="12" t="s">
        <v>15</v>
      </c>
      <c r="L20" s="14">
        <v>3924313.42</v>
      </c>
    </row>
    <row r="21" spans="1:12" x14ac:dyDescent="0.25">
      <c r="E21" s="8" t="s">
        <v>18</v>
      </c>
      <c r="F21" s="8">
        <v>3831100620.7600002</v>
      </c>
      <c r="G21" s="9">
        <v>3831100620.7600002</v>
      </c>
      <c r="K21" s="12" t="s">
        <v>24</v>
      </c>
      <c r="L21" s="13">
        <v>70294.2</v>
      </c>
    </row>
    <row r="22" spans="1:12" x14ac:dyDescent="0.25">
      <c r="K22" s="12" t="s">
        <v>25</v>
      </c>
      <c r="L22" s="13">
        <v>702941.8</v>
      </c>
    </row>
    <row r="23" spans="1:12" ht="30" x14ac:dyDescent="0.25">
      <c r="G23" s="1">
        <f>SUM(G16:G17)</f>
        <v>1572567906.49</v>
      </c>
      <c r="K23" s="12" t="s">
        <v>30</v>
      </c>
      <c r="L23" s="13">
        <v>140000</v>
      </c>
    </row>
    <row r="24" spans="1:12" ht="30" x14ac:dyDescent="0.25">
      <c r="A24" t="s">
        <v>31</v>
      </c>
      <c r="K24" s="12" t="s">
        <v>27</v>
      </c>
      <c r="L24" s="13">
        <v>320228.45</v>
      </c>
    </row>
    <row r="25" spans="1:12" x14ac:dyDescent="0.25">
      <c r="G25" s="1">
        <f>SUM(G19:G20)</f>
        <v>810427467.78999996</v>
      </c>
      <c r="K25" s="12" t="s">
        <v>28</v>
      </c>
      <c r="L25" s="13">
        <v>695375689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Бараа материал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Bayarjargal Otgonbayar</dc:creator>
  <cp:lastModifiedBy>Bayarjargal Otgonbayar</cp:lastModifiedBy>
  <dcterms:created xsi:type="dcterms:W3CDTF">2025-07-07T06:59:39Z</dcterms:created>
  <dcterms:modified xsi:type="dcterms:W3CDTF">2025-07-07T13:33:14Z</dcterms:modified>
</cp:coreProperties>
</file>